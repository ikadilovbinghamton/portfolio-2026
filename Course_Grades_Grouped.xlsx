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a11a92a36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dcd635bc6a440b"/>
    <x:sheet xmlns:r="http://schemas.openxmlformats.org/officeDocument/2006/relationships" name="Grouped Grades" sheetId="2" r:id="Rec4a1982ecdd4fd0"/>
    <x:sheet xmlns:r="http://schemas.openxmlformats.org/officeDocument/2006/relationships" name="Original Data" sheetId="3" r:id="R2fbdeb8ae5fe48e6"/>
  </x:sheets>
  <x:definedNames>
    <x:definedName name="_xlnm._FilterDatabase" localSheetId="1" hidden="1">'Grouped Grades'!$A$1:$K$41</x:definedName>
    <x:definedName name="_xlnm._FilterDatabase" localSheetId="2" hidden="1">'Original Data'!$A$1:$O$41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5">
    <x:font>
      <x:sz val="11"/>
      <x:color theme="1"/>
      <x:name val="Calibri"/>
      <x:family val="2"/>
      <x:scheme val="minor"/>
    </x:font>
    <x:font>
      <x:sz val="12"/>
      <x:color theme="1"/>
      <x:name val="Aptos Narrow"/>
      <x:family val="2"/>
      <x:scheme val="minor"/>
    </x:font>
    <x:font>
      <x:b/>
      <x:color rgb="00FFFFFF"/>
    </x:font>
    <x:font>
      <x:b/>
    </x:font>
    <x:font>
      <x:b/>
      <x:sz val="14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AF2F8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4" fillId="0" borderId="0" xfId="0"/>
    <x:xf numFmtId="0" fontId="0" fillId="0" borderId="0" xfId="0" applyAlignment="1">
      <x:alignment wrapText="1"/>
    </x:xf>
    <x:xf numFmtId="0" fontId="2" fillId="2" borderId="0" xfId="0" applyAlignment="1">
      <x:alignment horizontal="center" vertical="center"/>
    </x:xf>
    <x:xf numFmtId="0" fontId="0" fillId="0" borderId="1" xfId="0"/>
    <x:xf numFmtId="0" fontId="0" fillId="0" borderId="1" xfId="0" applyAlignment="1">
      <x:alignment horizontal="center"/>
    </x:xf>
    <x:xf numFmtId="164" fontId="0" fillId="0" borderId="1" xfId="0" applyAlignment="1">
      <x:alignment horizontal="center"/>
    </x:xf>
    <x:xf numFmtId="0" fontId="3" fillId="3" borderId="0" xfId="0"/>
    <x:xf numFmtId="0" fontId="3" fillId="0" borderId="0" xfId="0"/>
    <x:xf numFmtId="0" fontId="3" fillId="4" borderId="0" xfId="0" applyAlignment="1">
      <x:alignment horizontal="center"/>
    </x:xf>
    <x:xf numFmtId="164" fontId="3" fillId="4" borderId="0" xfId="0" applyAlignment="1">
      <x:alignment horizontal="center"/>
    </x:xf>
    <x:xf numFmtId="0" fontId="1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3f180ec9745b0" /><Relationship Type="http://schemas.openxmlformats.org/officeDocument/2006/relationships/theme" Target="/xl/theme/theme1.xml" Id="R8dd957c1d3654c62" /><Relationship Type="http://schemas.openxmlformats.org/officeDocument/2006/relationships/sharedStrings" Target="/xl/sharedStrings.xml" Id="Rf5365f1ed6c6435c" /><Relationship Type="http://schemas.openxmlformats.org/officeDocument/2006/relationships/worksheet" Target="/xl/worksheets/sheet1.xml" Id="R81dcd635bc6a440b" /><Relationship Type="http://schemas.openxmlformats.org/officeDocument/2006/relationships/worksheet" Target="/xl/worksheets/sheet2.xml" Id="Rec4a1982ecdd4fd0" /><Relationship Type="http://schemas.openxmlformats.org/officeDocument/2006/relationships/worksheet" Target="/xl/worksheets/sheet3.xml" Id="R2fbdeb8ae5fe48e6" /></Relationships>
</file>

<file path=xl/tables/table1.xml><?xml version="1.0" encoding="utf-8"?>
<x:table xmlns:x="http://schemas.openxmlformats.org/spreadsheetml/2006/main" id="1" name="GroupedGradesTable" displayName="GroupedGradesTable" ref="A1:K41" headerRowCount="1">
  <x:autoFilter ref="A1:K41"/>
  <x:tableColumns count="11">
    <x:tableColumn id="1" name="Course"/>
    <x:tableColumn id="2" name="Semester"/>
    <x:tableColumn id="3" name="A"/>
    <x:tableColumn id="4" name="B"/>
    <x:tableColumn id="5" name="C"/>
    <x:tableColumn id="6" name="D"/>
    <x:tableColumn id="7" name="F"/>
    <x:tableColumn id="8" name="W"/>
    <x:tableColumn id="9" name="Total"/>
    <x:tableColumn id="10" name="Pass (A-C)"/>
    <x:tableColumn id="11" name="Pass Ra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d3c526e294494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70" customWidth="1"/>
  </x:cols>
  <x:sheetData>
    <x:row r="1">
      <x:c r="A1" s="1" t="inlineStr">
        <x:is>
          <x:t xml:space="preserve">Grouped Course Grades Workbook</x:t>
        </x:is>
      </x:c>
    </x:row>
    <x:row r="2">
      <x:c r="A2" t="inlineStr">
        <x:is>
          <x:t xml:space="preserve"/>
        </x:is>
      </x:c>
    </x:row>
    <x:row r="3">
      <x:c r="A3" s="2" t="inlineStr">
        <x:is>
          <x:t xml:space="preserve">This workbook contains:</x:t>
        </x:is>
      </x:c>
    </x:row>
    <x:row r="4">
      <x:c r="A4" s="2" t="inlineStr">
        <x:is>
          <x:t xml:space="preserve">1. Original Data - the uploaded grade sheet copied as provided.</x:t>
        </x:is>
      </x:c>
    </x:row>
    <x:row r="5">
      <x:c r="A5" s="2" t="inlineStr">
        <x:is>
          <x:t xml:space="preserve">2. Grouped Grades - the same rows consolidated into A, B, C, D, F, and W groups.</x:t>
        </x:is>
      </x:c>
    </x:row>
    <x:row r="6">
      <x:c r="A6" s="2" t="inlineStr">
        <x:is>
          <x:t xml:space="preserve"/>
        </x:is>
      </x:c>
    </x:row>
    <x:row r="7">
      <x:c r="A7" s="2" t="inlineStr">
        <x:is>
          <x:t xml:space="preserve">Grouping logic used:</x:t>
        </x:is>
      </x:c>
    </x:row>
    <x:row r="8">
      <x:c r="A8" s="2" t="inlineStr">
        <x:is>
          <x:t xml:space="preserve">A = A + A-</x:t>
        </x:is>
      </x:c>
    </x:row>
    <x:row r="9">
      <x:c r="A9" s="2" t="inlineStr">
        <x:is>
          <x:t xml:space="preserve">B = B+ + B + B-</x:t>
        </x:is>
      </x:c>
    </x:row>
    <x:row r="10">
      <x:c r="A10" s="2" t="inlineStr">
        <x:is>
          <x:t xml:space="preserve">C = C+ + C + C-</x:t>
        </x:is>
      </x:c>
    </x:row>
    <x:row r="11">
      <x:c r="A11" s="2" t="inlineStr">
        <x:is>
          <x:t xml:space="preserve">D = D+ + D + D-</x:t>
        </x:is>
      </x:c>
    </x:row>
    <x:row r="12">
      <x:c r="A12" s="2" t="inlineStr">
        <x:is>
          <x:t xml:space="preserve">F = F</x:t>
        </x:is>
      </x:c>
    </x:row>
    <x:row r="13">
      <x:c r="A13" s="2" t="inlineStr">
        <x:is>
          <x:t xml:space="preserve">W = W</x:t>
        </x:is>
      </x:c>
    </x:row>
    <x:row r="14">
      <x:c r="A14" s="2" t="inlineStr">
        <x:is>
          <x:t xml:space="preserve"/>
        </x:is>
      </x:c>
    </x:row>
    <x:row r="15">
      <x:c r="A15" s="2" t="inlineStr">
        <x:is>
          <x:t xml:space="preserve">Additional columns:</x:t>
        </x:is>
      </x:c>
    </x:row>
    <x:row r="16">
      <x:c r="A16" s="2" t="inlineStr">
        <x:is>
          <x:t xml:space="preserve">Total = A + B + C + D + F + W</x:t>
        </x:is>
      </x:c>
    </x:row>
    <x:row r="17">
      <x:c r="A17" s="2" t="inlineStr">
        <x:is>
          <x:t xml:space="preserve">Pass (A-C) = A + B + C</x:t>
        </x:is>
      </x:c>
    </x:row>
    <x:row r="18">
      <x:c r="A18" s="2" t="inlineStr">
        <x:is>
          <x:t xml:space="preserve">Pass Rate = Pass (A-C) / Total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6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2" customWidth="1"/>
    <x:col min="11" max="11" width="11" customWidth="1"/>
  </x:cols>
  <x:sheetData>
    <x:row r="1">
      <x:c r="A1" s="3" t="inlineStr">
        <x:is>
          <x:t xml:space="preserve">Course</x:t>
        </x:is>
      </x:c>
      <x:c r="B1" s="3" t="inlineStr">
        <x:is>
          <x:t xml:space="preserve">Semester</x:t>
        </x:is>
      </x:c>
      <x:c r="C1" s="3" t="inlineStr">
        <x:is>
          <x:t xml:space="preserve">A</x:t>
        </x:is>
      </x:c>
      <x:c r="D1" s="3" t="inlineStr">
        <x:is>
          <x:t xml:space="preserve">B</x:t>
        </x:is>
      </x:c>
      <x:c r="E1" s="3" t="inlineStr">
        <x:is>
          <x:t xml:space="preserve">C</x:t>
        </x:is>
      </x:c>
      <x:c r="F1" s="3" t="inlineStr">
        <x:is>
          <x:t xml:space="preserve">D</x:t>
        </x:is>
      </x:c>
      <x:c r="G1" s="3" t="inlineStr">
        <x:is>
          <x:t xml:space="preserve">F</x:t>
        </x:is>
      </x:c>
      <x:c r="H1" s="3" t="inlineStr">
        <x:is>
          <x:t xml:space="preserve">W</x:t>
        </x:is>
      </x:c>
      <x:c r="I1" s="3" t="inlineStr">
        <x:is>
          <x:t xml:space="preserve">Total</x:t>
        </x:is>
      </x:c>
      <x:c r="J1" s="3" t="inlineStr">
        <x:is>
          <x:t xml:space="preserve">Pass (A-C)</x:t>
        </x:is>
      </x:c>
      <x:c r="K1" s="3" t="inlineStr">
        <x:is>
          <x:t xml:space="preserve">Pass Rate</x:t>
        </x:is>
      </x:c>
    </x:row>
    <x:row r="2">
      <x:c r="A2" s="4" t="str">
        <x:f>'Original Data'!A2</x:f>
        <x:v>CPT 1161  Networking Essentials</x:v>
      </x:c>
      <x:c r="B2" s="4" t="str">
        <x:f>'Original Data'!B2</x:f>
        <x:v>Fall 2021</x:v>
      </x:c>
      <x:c r="C2" s="5">
        <x:f>SUM('Original Data'!C2:D2)</x:f>
        <x:v>4</x:v>
      </x:c>
      <x:c r="D2" s="5">
        <x:f>SUM('Original Data'!E2:G2)</x:f>
        <x:v>2</x:v>
      </x:c>
      <x:c r="E2" s="5">
        <x:f>SUM('Original Data'!H2:J2)</x:f>
        <x:v>0</x:v>
      </x:c>
      <x:c r="F2" s="5">
        <x:f>SUM('Original Data'!K2:M2)</x:f>
        <x:v>0</x:v>
      </x:c>
      <x:c r="G2" s="5">
        <x:f>'Original Data'!N2</x:f>
        <x:v>0</x:v>
      </x:c>
      <x:c r="H2" s="5">
        <x:f>'Original Data'!O2</x:f>
        <x:v>0</x:v>
      </x:c>
      <x:c r="I2" s="5">
        <x:f>SUM(C2:H2)</x:f>
        <x:v>6</x:v>
      </x:c>
      <x:c r="J2" s="5">
        <x:f>SUM(C2:E2)</x:f>
        <x:v>6</x:v>
      </x:c>
      <x:c r="K2" s="6">
        <x:f>IF(I2=0,0,J2/I2)</x:f>
        <x:v>1</x:v>
      </x:c>
    </x:row>
    <x:row r="3">
      <x:c r="A3" s="4" t="str">
        <x:f>'Original Data'!A3</x:f>
        <x:v>CPT 1161  Networking Essentials</x:v>
      </x:c>
      <x:c r="B3" s="4" t="str">
        <x:f>'Original Data'!B3</x:f>
        <x:v>Fall 2024</x:v>
      </x:c>
      <x:c r="C3" s="5">
        <x:f>SUM('Original Data'!C3:D3)</x:f>
        <x:v>3</x:v>
      </x:c>
      <x:c r="D3" s="5">
        <x:f>SUM('Original Data'!E3:G3)</x:f>
        <x:v>2</x:v>
      </x:c>
      <x:c r="E3" s="5">
        <x:f>SUM('Original Data'!H3:J3)</x:f>
        <x:v>0</x:v>
      </x:c>
      <x:c r="F3" s="5">
        <x:f>SUM('Original Data'!K3:M3)</x:f>
        <x:v>1</x:v>
      </x:c>
      <x:c r="G3" s="5">
        <x:f>'Original Data'!N3</x:f>
        <x:v>1</x:v>
      </x:c>
      <x:c r="H3" s="5">
        <x:f>'Original Data'!O3</x:f>
        <x:v>0</x:v>
      </x:c>
      <x:c r="I3" s="5">
        <x:f>SUM(C3:H3)</x:f>
        <x:v>7</x:v>
      </x:c>
      <x:c r="J3" s="5">
        <x:f>SUM(C3:E3)</x:f>
        <x:v>5</x:v>
      </x:c>
      <x:c r="K3" s="6">
        <x:f>IF(I3=0,0,J3/I3)</x:f>
        <x:v>0.7142857142857143</x:v>
      </x:c>
    </x:row>
    <x:row r="4">
      <x:c r="A4" s="4" t="str">
        <x:f>'Original Data'!A4</x:f>
        <x:v>CPT 1200 IT Fundementals</x:v>
      </x:c>
      <x:c r="B4" s="4" t="str">
        <x:f>'Original Data'!B4</x:f>
        <x:v>Sprring 2025</x:v>
      </x:c>
      <x:c r="C4" s="5">
        <x:f>SUM('Original Data'!C4:D4)</x:f>
        <x:v>4</x:v>
      </x:c>
      <x:c r="D4" s="5">
        <x:f>SUM('Original Data'!E4:G4)</x:f>
        <x:v>1</x:v>
      </x:c>
      <x:c r="E4" s="5">
        <x:f>SUM('Original Data'!H4:J4)</x:f>
        <x:v>3</x:v>
      </x:c>
      <x:c r="F4" s="5">
        <x:f>SUM('Original Data'!K4:M4)</x:f>
        <x:v>0</x:v>
      </x:c>
      <x:c r="G4" s="5">
        <x:f>'Original Data'!N4</x:f>
        <x:v>2</x:v>
      </x:c>
      <x:c r="H4" s="5">
        <x:f>'Original Data'!O4</x:f>
        <x:v>1</x:v>
      </x:c>
      <x:c r="I4" s="5">
        <x:f>SUM(C4:H4)</x:f>
        <x:v>11</x:v>
      </x:c>
      <x:c r="J4" s="5">
        <x:f>SUM(C4:E4)</x:f>
        <x:v>8</x:v>
      </x:c>
      <x:c r="K4" s="6">
        <x:f>IF(I4=0,0,J4/I4)</x:f>
        <x:v>0.7272727272727273</x:v>
      </x:c>
    </x:row>
    <x:row r="5">
      <x:c r="A5" s="4" t="str">
        <x:f>'Original Data'!A5</x:f>
        <x:v>CPT 1203 HTML</x:v>
      </x:c>
      <x:c r="B5" s="4" t="str">
        <x:f>'Original Data'!B5</x:f>
        <x:v>Sprring 2022</x:v>
      </x:c>
      <x:c r="C5" s="5">
        <x:f>SUM('Original Data'!C5:D5)</x:f>
        <x:v>4</x:v>
      </x:c>
      <x:c r="D5" s="5">
        <x:f>SUM('Original Data'!E5:G5)</x:f>
        <x:v>1</x:v>
      </x:c>
      <x:c r="E5" s="5">
        <x:f>SUM('Original Data'!H5:J5)</x:f>
        <x:v>1</x:v>
      </x:c>
      <x:c r="F5" s="5">
        <x:f>SUM('Original Data'!K5:M5)</x:f>
        <x:v>0</x:v>
      </x:c>
      <x:c r="G5" s="5">
        <x:f>'Original Data'!N5</x:f>
        <x:v>2</x:v>
      </x:c>
      <x:c r="H5" s="5">
        <x:f>'Original Data'!O5</x:f>
        <x:v>0</x:v>
      </x:c>
      <x:c r="I5" s="5">
        <x:f>SUM(C5:H5)</x:f>
        <x:v>8</x:v>
      </x:c>
      <x:c r="J5" s="5">
        <x:f>SUM(C5:E5)</x:f>
        <x:v>6</x:v>
      </x:c>
      <x:c r="K5" s="6">
        <x:f>IF(I5=0,0,J5/I5)</x:f>
        <x:v>0.75</x:v>
      </x:c>
    </x:row>
    <x:row r="6">
      <x:c r="A6" s="4" t="str">
        <x:f>'Original Data'!A6</x:f>
        <x:v>CPT 1203 HTML</x:v>
      </x:c>
      <x:c r="B6" s="4" t="str">
        <x:f>'Original Data'!B6</x:f>
        <x:v>Sprring 2024</x:v>
      </x:c>
      <x:c r="C6" s="5">
        <x:f>SUM('Original Data'!C6:D6)</x:f>
        <x:v>2</x:v>
      </x:c>
      <x:c r="D6" s="5">
        <x:f>SUM('Original Data'!E6:G6)</x:f>
        <x:v>4</x:v>
      </x:c>
      <x:c r="E6" s="5">
        <x:f>SUM('Original Data'!H6:J6)</x:f>
        <x:v>6</x:v>
      </x:c>
      <x:c r="F6" s="5">
        <x:f>SUM('Original Data'!K6:M6)</x:f>
        <x:v>2</x:v>
      </x:c>
      <x:c r="G6" s="5">
        <x:f>'Original Data'!N6</x:f>
        <x:v>10</x:v>
      </x:c>
      <x:c r="H6" s="5">
        <x:f>'Original Data'!O6</x:f>
        <x:v>2</x:v>
      </x:c>
      <x:c r="I6" s="5">
        <x:f>SUM(C6:H6)</x:f>
        <x:v>26</x:v>
      </x:c>
      <x:c r="J6" s="5">
        <x:f>SUM(C6:E6)</x:f>
        <x:v>12</x:v>
      </x:c>
      <x:c r="K6" s="6">
        <x:f>IF(I6=0,0,J6/I6)</x:f>
        <x:v>0.46153846153846156</x:v>
      </x:c>
    </x:row>
    <x:row r="7">
      <x:c r="A7" s="4" t="str">
        <x:f>'Original Data'!A7</x:f>
        <x:v>CPT 1209 Computer Hardware</x:v>
      </x:c>
      <x:c r="B7" s="4" t="str">
        <x:f>'Original Data'!B7</x:f>
        <x:v>Fall 2024</x:v>
      </x:c>
      <x:c r="C7" s="5">
        <x:f>SUM('Original Data'!C7:D7)</x:f>
        <x:v>8</x:v>
      </x:c>
      <x:c r="D7" s="5">
        <x:f>SUM('Original Data'!E7:G7)</x:f>
        <x:v>0</x:v>
      </x:c>
      <x:c r="E7" s="5">
        <x:f>SUM('Original Data'!H7:J7)</x:f>
        <x:v>0</x:v>
      </x:c>
      <x:c r="F7" s="5">
        <x:f>SUM('Original Data'!K7:M7)</x:f>
        <x:v>2</x:v>
      </x:c>
      <x:c r="G7" s="5">
        <x:f>'Original Data'!N7</x:f>
        <x:v>1</x:v>
      </x:c>
      <x:c r="H7" s="5">
        <x:f>'Original Data'!O7</x:f>
        <x:v>0</x:v>
      </x:c>
      <x:c r="I7" s="5">
        <x:f>SUM(C7:H7)</x:f>
        <x:v>11</x:v>
      </x:c>
      <x:c r="J7" s="5">
        <x:f>SUM(C7:E7)</x:f>
        <x:v>8</x:v>
      </x:c>
      <x:c r="K7" s="6">
        <x:f>IF(I7=0,0,J7/I7)</x:f>
        <x:v>0.7272727272727273</x:v>
      </x:c>
    </x:row>
    <x:row r="8">
      <x:c r="A8" s="4" t="str">
        <x:f>'Original Data'!A8</x:f>
        <x:v>CPT 1300  Introduction to Computer Science</x:v>
      </x:c>
      <x:c r="B8" s="4" t="str">
        <x:f>'Original Data'!B8</x:f>
        <x:v>Fall 2021</x:v>
      </x:c>
      <x:c r="C8" s="5">
        <x:f>SUM('Original Data'!C8:D8)</x:f>
        <x:v>3</x:v>
      </x:c>
      <x:c r="D8" s="5">
        <x:f>SUM('Original Data'!E8:G8)</x:f>
        <x:v>2</x:v>
      </x:c>
      <x:c r="E8" s="5">
        <x:f>SUM('Original Data'!H8:J8)</x:f>
        <x:v>4</x:v>
      </x:c>
      <x:c r="F8" s="5">
        <x:f>SUM('Original Data'!K8:M8)</x:f>
        <x:v>1</x:v>
      </x:c>
      <x:c r="G8" s="5">
        <x:f>'Original Data'!N8</x:f>
        <x:v>3</x:v>
      </x:c>
      <x:c r="H8" s="5">
        <x:f>'Original Data'!O8</x:f>
        <x:v>2</x:v>
      </x:c>
      <x:c r="I8" s="5">
        <x:f>SUM(C8:H8)</x:f>
        <x:v>15</x:v>
      </x:c>
      <x:c r="J8" s="5">
        <x:f>SUM(C8:E8)</x:f>
        <x:v>9</x:v>
      </x:c>
      <x:c r="K8" s="6">
        <x:f>IF(I8=0,0,J8/I8)</x:f>
        <x:v>0.6</x:v>
      </x:c>
    </x:row>
    <x:row r="9">
      <x:c r="A9" s="4" t="str">
        <x:f>'Original Data'!A9</x:f>
        <x:v>CPT 1300  Introduction to Computer Science</x:v>
      </x:c>
      <x:c r="B9" s="4" t="str">
        <x:f>'Original Data'!B9</x:f>
        <x:v>Fall 2022</x:v>
      </x:c>
      <x:c r="C9" s="5">
        <x:f>SUM('Original Data'!C9:D9)</x:f>
        <x:v>6</x:v>
      </x:c>
      <x:c r="D9" s="5">
        <x:f>SUM('Original Data'!E9:G9)</x:f>
        <x:v>1</x:v>
      </x:c>
      <x:c r="E9" s="5">
        <x:f>SUM('Original Data'!H9:J9)</x:f>
        <x:v>0</x:v>
      </x:c>
      <x:c r="F9" s="5">
        <x:f>SUM('Original Data'!K9:M9)</x:f>
        <x:v>1</x:v>
      </x:c>
      <x:c r="G9" s="5">
        <x:f>'Original Data'!N9</x:f>
        <x:v>10</x:v>
      </x:c>
      <x:c r="H9" s="5">
        <x:f>'Original Data'!O9</x:f>
        <x:v>3</x:v>
      </x:c>
      <x:c r="I9" s="5">
        <x:f>SUM(C9:H9)</x:f>
        <x:v>21</x:v>
      </x:c>
      <x:c r="J9" s="5">
        <x:f>SUM(C9:E9)</x:f>
        <x:v>7</x:v>
      </x:c>
      <x:c r="K9" s="6">
        <x:f>IF(I9=0,0,J9/I9)</x:f>
        <x:v>0.3333333333333333</x:v>
      </x:c>
    </x:row>
    <x:row r="10">
      <x:c r="A10" s="4" t="str">
        <x:f>'Original Data'!A10</x:f>
        <x:v>CPT 1301  Logic and Problem Solving</x:v>
      </x:c>
      <x:c r="B10" s="4" t="str">
        <x:f>'Original Data'!B10</x:f>
        <x:v>Fall 2021</x:v>
      </x:c>
      <x:c r="C10" s="5">
        <x:f>SUM('Original Data'!C10:D10)</x:f>
        <x:v>4</x:v>
      </x:c>
      <x:c r="D10" s="5">
        <x:f>SUM('Original Data'!E10:G10)</x:f>
        <x:v>2</x:v>
      </x:c>
      <x:c r="E10" s="5">
        <x:f>SUM('Original Data'!H10:J10)</x:f>
        <x:v>2</x:v>
      </x:c>
      <x:c r="F10" s="5">
        <x:f>SUM('Original Data'!K10:M10)</x:f>
        <x:v>0</x:v>
      </x:c>
      <x:c r="G10" s="5">
        <x:f>'Original Data'!N10</x:f>
        <x:v>3</x:v>
      </x:c>
      <x:c r="H10" s="5">
        <x:f>'Original Data'!O10</x:f>
        <x:v>3</x:v>
      </x:c>
      <x:c r="I10" s="5">
        <x:f>SUM(C10:H10)</x:f>
        <x:v>14</x:v>
      </x:c>
      <x:c r="J10" s="5">
        <x:f>SUM(C10:E10)</x:f>
        <x:v>8</x:v>
      </x:c>
      <x:c r="K10" s="6">
        <x:f>IF(I10=0,0,J10/I10)</x:f>
        <x:v>0.5714285714285714</x:v>
      </x:c>
    </x:row>
    <x:row r="11">
      <x:c r="A11" s="4" t="str">
        <x:f>'Original Data'!A11</x:f>
        <x:v>CPT 1301  Logic and Problem Solving</x:v>
      </x:c>
      <x:c r="B11" s="4" t="str">
        <x:f>'Original Data'!B11</x:f>
        <x:v>Sprring 2025</x:v>
      </x:c>
      <x:c r="C11" s="5">
        <x:f>SUM('Original Data'!C11:D11)</x:f>
        <x:v>3</x:v>
      </x:c>
      <x:c r="D11" s="5">
        <x:f>SUM('Original Data'!E11:G11)</x:f>
        <x:v>1</x:v>
      </x:c>
      <x:c r="E11" s="5">
        <x:f>SUM('Original Data'!H11:J11)</x:f>
        <x:v>3</x:v>
      </x:c>
      <x:c r="F11" s="5">
        <x:f>SUM('Original Data'!K11:M11)</x:f>
        <x:v>1</x:v>
      </x:c>
      <x:c r="G11" s="5">
        <x:f>'Original Data'!N11</x:f>
        <x:v>1</x:v>
      </x:c>
      <x:c r="H11" s="5">
        <x:f>'Original Data'!O11</x:f>
        <x:v>1</x:v>
      </x:c>
      <x:c r="I11" s="5">
        <x:f>SUM(C11:H11)</x:f>
        <x:v>10</x:v>
      </x:c>
      <x:c r="J11" s="5">
        <x:f>SUM(C11:E11)</x:f>
        <x:v>7</x:v>
      </x:c>
      <x:c r="K11" s="6">
        <x:f>IF(I11=0,0,J11/I11)</x:f>
        <x:v>0.7</x:v>
      </x:c>
    </x:row>
    <x:row r="12">
      <x:c r="A12" s="4" t="str">
        <x:f>'Original Data'!A12</x:f>
        <x:v>CPT 1301  Logic and Problem Solving</x:v>
      </x:c>
      <x:c r="B12" s="4" t="str">
        <x:f>'Original Data'!B12</x:f>
        <x:v>Sprring 2024</x:v>
      </x:c>
      <x:c r="C12" s="5">
        <x:f>SUM('Original Data'!C12:D12)</x:f>
        <x:v>8</x:v>
      </x:c>
      <x:c r="D12" s="5">
        <x:f>SUM('Original Data'!E12:G12)</x:f>
        <x:v>3</x:v>
      </x:c>
      <x:c r="E12" s="5">
        <x:f>SUM('Original Data'!H12:J12)</x:f>
        <x:v>2</x:v>
      </x:c>
      <x:c r="F12" s="5">
        <x:f>SUM('Original Data'!K12:M12)</x:f>
        <x:v>1</x:v>
      </x:c>
      <x:c r="G12" s="5">
        <x:f>'Original Data'!N12</x:f>
        <x:v>6</x:v>
      </x:c>
      <x:c r="H12" s="5">
        <x:f>'Original Data'!O12</x:f>
        <x:v>0</x:v>
      </x:c>
      <x:c r="I12" s="5">
        <x:f>SUM(C12:H12)</x:f>
        <x:v>20</x:v>
      </x:c>
      <x:c r="J12" s="5">
        <x:f>SUM(C12:E12)</x:f>
        <x:v>13</x:v>
      </x:c>
      <x:c r="K12" s="6">
        <x:f>IF(I12=0,0,J12/I12)</x:f>
        <x:v>0.65</x:v>
      </x:c>
    </x:row>
    <x:row r="13">
      <x:c r="A13" s="4" t="str">
        <x:f>'Original Data'!A13</x:f>
        <x:v>CPT 1307 Scripting</x:v>
      </x:c>
      <x:c r="B13" s="4" t="str">
        <x:f>'Original Data'!B13</x:f>
        <x:v>Fall 2022</x:v>
      </x:c>
      <x:c r="C13" s="5">
        <x:f>SUM('Original Data'!C13:D13)</x:f>
        <x:v>10</x:v>
      </x:c>
      <x:c r="D13" s="5">
        <x:f>SUM('Original Data'!E13:G13)</x:f>
        <x:v>2</x:v>
      </x:c>
      <x:c r="E13" s="5">
        <x:f>SUM('Original Data'!H13:J13)</x:f>
        <x:v>0</x:v>
      </x:c>
      <x:c r="F13" s="5">
        <x:f>SUM('Original Data'!K13:M13)</x:f>
        <x:v>2</x:v>
      </x:c>
      <x:c r="G13" s="5">
        <x:f>'Original Data'!N13</x:f>
        <x:v>11</x:v>
      </x:c>
      <x:c r="H13" s="5">
        <x:f>'Original Data'!O13</x:f>
        <x:v>3</x:v>
      </x:c>
      <x:c r="I13" s="5">
        <x:f>SUM(C13:H13)</x:f>
        <x:v>28</x:v>
      </x:c>
      <x:c r="J13" s="5">
        <x:f>SUM(C13:E13)</x:f>
        <x:v>12</x:v>
      </x:c>
      <x:c r="K13" s="6">
        <x:f>IF(I13=0,0,J13/I13)</x:f>
        <x:v>0.42857142857142855</x:v>
      </x:c>
    </x:row>
    <x:row r="14">
      <x:c r="A14" s="4" t="str">
        <x:f>'Original Data'!A14</x:f>
        <x:v>CPT 1307 Scripting</x:v>
      </x:c>
      <x:c r="B14" s="4" t="str">
        <x:f>'Original Data'!B14</x:f>
        <x:v>Fall 2023</x:v>
      </x:c>
      <x:c r="C14" s="5">
        <x:f>SUM('Original Data'!C14:D14)</x:f>
        <x:v>0</x:v>
      </x:c>
      <x:c r="D14" s="5">
        <x:f>SUM('Original Data'!E14:G14)</x:f>
        <x:v>6</x:v>
      </x:c>
      <x:c r="E14" s="5">
        <x:f>SUM('Original Data'!H14:J14)</x:f>
        <x:v>1</x:v>
      </x:c>
      <x:c r="F14" s="5">
        <x:f>SUM('Original Data'!K14:M14)</x:f>
        <x:v>2</x:v>
      </x:c>
      <x:c r="G14" s="5">
        <x:f>'Original Data'!N14</x:f>
        <x:v>4</x:v>
      </x:c>
      <x:c r="H14" s="5">
        <x:f>'Original Data'!O14</x:f>
        <x:v>1</x:v>
      </x:c>
      <x:c r="I14" s="5">
        <x:f>SUM(C14:H14)</x:f>
        <x:v>14</x:v>
      </x:c>
      <x:c r="J14" s="5">
        <x:f>SUM(C14:E14)</x:f>
        <x:v>7</x:v>
      </x:c>
      <x:c r="K14" s="6">
        <x:f>IF(I14=0,0,J14/I14)</x:f>
        <x:v>0.5</x:v>
      </x:c>
    </x:row>
    <x:row r="15">
      <x:c r="A15" s="4" t="str">
        <x:f>'Original Data'!A15</x:f>
        <x:v>CPT 1307 Scripting</x:v>
      </x:c>
      <x:c r="B15" s="4" t="str">
        <x:f>'Original Data'!B15</x:f>
        <x:v>Fall 2024</x:v>
      </x:c>
      <x:c r="C15" s="5">
        <x:f>SUM('Original Data'!C15:D15)</x:f>
        <x:v>6</x:v>
      </x:c>
      <x:c r="D15" s="5">
        <x:f>SUM('Original Data'!E15:G15)</x:f>
        <x:v>4</x:v>
      </x:c>
      <x:c r="E15" s="5">
        <x:f>SUM('Original Data'!H15:J15)</x:f>
        <x:v>2</x:v>
      </x:c>
      <x:c r="F15" s="5">
        <x:f>SUM('Original Data'!K15:M15)</x:f>
        <x:v>1</x:v>
      </x:c>
      <x:c r="G15" s="5">
        <x:f>'Original Data'!N15</x:f>
        <x:v>2</x:v>
      </x:c>
      <x:c r="H15" s="5">
        <x:f>'Original Data'!O15</x:f>
        <x:v>0</x:v>
      </x:c>
      <x:c r="I15" s="5">
        <x:f>SUM(C15:H15)</x:f>
        <x:v>15</x:v>
      </x:c>
      <x:c r="J15" s="5">
        <x:f>SUM(C15:E15)</x:f>
        <x:v>12</x:v>
      </x:c>
      <x:c r="K15" s="6">
        <x:f>IF(I15=0,0,J15/I15)</x:f>
        <x:v>0.8</x:v>
      </x:c>
    </x:row>
    <x:row r="16">
      <x:c r="A16" s="4" t="str">
        <x:f>'Original Data'!A16</x:f>
        <x:v>CPT 1318 Web Design</x:v>
      </x:c>
      <x:c r="B16" s="4" t="str">
        <x:f>'Original Data'!B16</x:f>
        <x:v>Fall 2024</x:v>
      </x:c>
      <x:c r="C16" s="5">
        <x:f>SUM('Original Data'!C16:D16)</x:f>
        <x:v>6</x:v>
      </x:c>
      <x:c r="D16" s="5">
        <x:f>SUM('Original Data'!E16:G16)</x:f>
        <x:v>2</x:v>
      </x:c>
      <x:c r="E16" s="5">
        <x:f>SUM('Original Data'!H16:J16)</x:f>
        <x:v>0</x:v>
      </x:c>
      <x:c r="F16" s="5">
        <x:f>SUM('Original Data'!K16:M16)</x:f>
        <x:v>0</x:v>
      </x:c>
      <x:c r="G16" s="5">
        <x:f>'Original Data'!N16</x:f>
        <x:v>7</x:v>
      </x:c>
      <x:c r="H16" s="5">
        <x:f>'Original Data'!O16</x:f>
        <x:v>0</x:v>
      </x:c>
      <x:c r="I16" s="5">
        <x:f>SUM(C16:H16)</x:f>
        <x:v>15</x:v>
      </x:c>
      <x:c r="J16" s="5">
        <x:f>SUM(C16:E16)</x:f>
        <x:v>8</x:v>
      </x:c>
      <x:c r="K16" s="6">
        <x:f>IF(I16=0,0,J16/I16)</x:f>
        <x:v>0.5333333333333333</x:v>
      </x:c>
    </x:row>
    <x:row r="17">
      <x:c r="A17" s="4" t="str">
        <x:f>'Original Data'!A17</x:f>
        <x:v>CPT 1408 Web Design and Development</x:v>
      </x:c>
      <x:c r="B17" s="4" t="str">
        <x:f>'Original Data'!B17</x:f>
        <x:v>Fall 2023</x:v>
      </x:c>
      <x:c r="C17" s="5">
        <x:f>SUM('Original Data'!C17:D17)</x:f>
        <x:v>5</x:v>
      </x:c>
      <x:c r="D17" s="5">
        <x:f>SUM('Original Data'!E17:G17)</x:f>
        <x:v>0</x:v>
      </x:c>
      <x:c r="E17" s="5">
        <x:f>SUM('Original Data'!H17:J17)</x:f>
        <x:v>2</x:v>
      </x:c>
      <x:c r="F17" s="5">
        <x:f>SUM('Original Data'!K17:M17)</x:f>
        <x:v>0</x:v>
      </x:c>
      <x:c r="G17" s="5">
        <x:f>'Original Data'!N17</x:f>
        <x:v>1</x:v>
      </x:c>
      <x:c r="H17" s="5">
        <x:f>'Original Data'!O17</x:f>
        <x:v>0</x:v>
      </x:c>
      <x:c r="I17" s="5">
        <x:f>SUM(C17:H17)</x:f>
        <x:v>8</x:v>
      </x:c>
      <x:c r="J17" s="5">
        <x:f>SUM(C17:E17)</x:f>
        <x:v>7</x:v>
      </x:c>
      <x:c r="K17" s="6">
        <x:f>IF(I17=0,0,J17/I17)</x:f>
        <x:v>0.875</x:v>
      </x:c>
    </x:row>
    <x:row r="18">
      <x:c r="A18" s="4" t="str">
        <x:f>'Original Data'!A18</x:f>
        <x:v>CPT 2040 Mobile Application Programming</x:v>
      </x:c>
      <x:c r="B18" s="4" t="str">
        <x:f>'Original Data'!B18</x:f>
        <x:v>Sprring 2022</x:v>
      </x:c>
      <x:c r="C18" s="5">
        <x:f>SUM('Original Data'!C18:D18)</x:f>
        <x:v>1</x:v>
      </x:c>
      <x:c r="D18" s="5">
        <x:f>SUM('Original Data'!E18:G18)</x:f>
        <x:v>0</x:v>
      </x:c>
      <x:c r="E18" s="5">
        <x:f>SUM('Original Data'!H18:J18)</x:f>
        <x:v>0</x:v>
      </x:c>
      <x:c r="F18" s="5">
        <x:f>SUM('Original Data'!K18:M18)</x:f>
        <x:v>0</x:v>
      </x:c>
      <x:c r="G18" s="5">
        <x:f>'Original Data'!N18</x:f>
        <x:v>0</x:v>
      </x:c>
      <x:c r="H18" s="5">
        <x:f>'Original Data'!O18</x:f>
        <x:v>0</x:v>
      </x:c>
      <x:c r="I18" s="5">
        <x:f>SUM(C18:H18)</x:f>
        <x:v>1</x:v>
      </x:c>
      <x:c r="J18" s="5">
        <x:f>SUM(C18:E18)</x:f>
        <x:v>1</x:v>
      </x:c>
      <x:c r="K18" s="6">
        <x:f>IF(I18=0,0,J18/I18)</x:f>
        <x:v>1</x:v>
      </x:c>
    </x:row>
    <x:row r="19">
      <x:c r="A19" s="4" t="str">
        <x:f>'Original Data'!A19</x:f>
        <x:v>CPT 2040 Mobile Application Programming</x:v>
      </x:c>
      <x:c r="B19" s="4" t="str">
        <x:f>'Original Data'!B19</x:f>
        <x:v>Sprring 2023</x:v>
      </x:c>
      <x:c r="C19" s="5">
        <x:f>SUM('Original Data'!C19:D19)</x:f>
        <x:v>4</x:v>
      </x:c>
      <x:c r="D19" s="5">
        <x:f>SUM('Original Data'!E19:G19)</x:f>
        <x:v>0</x:v>
      </x:c>
      <x:c r="E19" s="5">
        <x:f>SUM('Original Data'!H19:J19)</x:f>
        <x:v>1</x:v>
      </x:c>
      <x:c r="F19" s="5">
        <x:f>SUM('Original Data'!K19:M19)</x:f>
        <x:v>1</x:v>
      </x:c>
      <x:c r="G19" s="5">
        <x:f>'Original Data'!N19</x:f>
        <x:v>1</x:v>
      </x:c>
      <x:c r="H19" s="5">
        <x:f>'Original Data'!O19</x:f>
        <x:v>0</x:v>
      </x:c>
      <x:c r="I19" s="5">
        <x:f>SUM(C19:H19)</x:f>
        <x:v>7</x:v>
      </x:c>
      <x:c r="J19" s="5">
        <x:f>SUM(C19:E19)</x:f>
        <x:v>5</x:v>
      </x:c>
      <x:c r="K19" s="6">
        <x:f>IF(I19=0,0,J19/I19)</x:f>
        <x:v>0.7142857142857143</x:v>
      </x:c>
    </x:row>
    <x:row r="20">
      <x:c r="A20" s="4" t="str">
        <x:f>'Original Data'!A20</x:f>
        <x:v>CPT 2170 Linux</x:v>
      </x:c>
      <x:c r="B20" s="4" t="str">
        <x:f>'Original Data'!B20</x:f>
        <x:v>Fall 2022</x:v>
      </x:c>
      <x:c r="C20" s="5">
        <x:f>SUM('Original Data'!C20:D20)</x:f>
        <x:v>3</x:v>
      </x:c>
      <x:c r="D20" s="5">
        <x:f>SUM('Original Data'!E20:G20)</x:f>
        <x:v>0</x:v>
      </x:c>
      <x:c r="E20" s="5">
        <x:f>SUM('Original Data'!H20:J20)</x:f>
        <x:v>1</x:v>
      </x:c>
      <x:c r="F20" s="5">
        <x:f>SUM('Original Data'!K20:M20)</x:f>
        <x:v>0</x:v>
      </x:c>
      <x:c r="G20" s="5">
        <x:f>'Original Data'!N20</x:f>
        <x:v>0</x:v>
      </x:c>
      <x:c r="H20" s="5">
        <x:f>'Original Data'!O20</x:f>
        <x:v>0</x:v>
      </x:c>
      <x:c r="I20" s="5">
        <x:f>SUM(C20:H20)</x:f>
        <x:v>4</x:v>
      </x:c>
      <x:c r="J20" s="5">
        <x:f>SUM(C20:E20)</x:f>
        <x:v>4</x:v>
      </x:c>
      <x:c r="K20" s="6">
        <x:f>IF(I20=0,0,J20/I20)</x:f>
        <x:v>1</x:v>
      </x:c>
    </x:row>
    <x:row r="21">
      <x:c r="A21" s="4" t="str">
        <x:f>'Original Data'!A21</x:f>
        <x:v>CPT 2170 Linux</x:v>
      </x:c>
      <x:c r="B21" s="4" t="str">
        <x:f>'Original Data'!B21</x:f>
        <x:v>Sprring 2025</x:v>
      </x:c>
      <x:c r="C21" s="5">
        <x:f>SUM('Original Data'!C21:D21)</x:f>
        <x:v>4</x:v>
      </x:c>
      <x:c r="D21" s="5">
        <x:f>SUM('Original Data'!E21:G21)</x:f>
        <x:v>1</x:v>
      </x:c>
      <x:c r="E21" s="5">
        <x:f>SUM('Original Data'!H21:J21)</x:f>
        <x:v>0</x:v>
      </x:c>
      <x:c r="F21" s="5">
        <x:f>SUM('Original Data'!K21:M21)</x:f>
        <x:v>0</x:v>
      </x:c>
      <x:c r="G21" s="5">
        <x:f>'Original Data'!N21</x:f>
        <x:v>0</x:v>
      </x:c>
      <x:c r="H21" s="5">
        <x:f>'Original Data'!O21</x:f>
        <x:v>1</x:v>
      </x:c>
      <x:c r="I21" s="5">
        <x:f>SUM(C21:H21)</x:f>
        <x:v>6</x:v>
      </x:c>
      <x:c r="J21" s="5">
        <x:f>SUM(C21:E21)</x:f>
        <x:v>5</x:v>
      </x:c>
      <x:c r="K21" s="6">
        <x:f>IF(I21=0,0,J21/I21)</x:f>
        <x:v>0.8333333333333334</x:v>
      </x:c>
    </x:row>
    <x:row r="22">
      <x:c r="A22" s="4" t="str">
        <x:f>'Original Data'!A22</x:f>
        <x:v>CPT 2170 Linux</x:v>
      </x:c>
      <x:c r="B22" s="4" t="str">
        <x:f>'Original Data'!B22</x:f>
        <x:v>Fall 2023</x:v>
      </x:c>
      <x:c r="C22" s="5">
        <x:f>SUM('Original Data'!C22:D22)</x:f>
        <x:v>3</x:v>
      </x:c>
      <x:c r="D22" s="5">
        <x:f>SUM('Original Data'!E22:G22)</x:f>
        <x:v>0</x:v>
      </x:c>
      <x:c r="E22" s="5">
        <x:f>SUM('Original Data'!H22:J22)</x:f>
        <x:v>1</x:v>
      </x:c>
      <x:c r="F22" s="5">
        <x:f>SUM('Original Data'!K22:M22)</x:f>
        <x:v>1</x:v>
      </x:c>
      <x:c r="G22" s="5">
        <x:f>'Original Data'!N22</x:f>
        <x:v>1</x:v>
      </x:c>
      <x:c r="H22" s="5">
        <x:f>'Original Data'!O22</x:f>
        <x:v>0</x:v>
      </x:c>
      <x:c r="I22" s="5">
        <x:f>SUM(C22:H22)</x:f>
        <x:v>6</x:v>
      </x:c>
      <x:c r="J22" s="5">
        <x:f>SUM(C22:E22)</x:f>
        <x:v>4</x:v>
      </x:c>
      <x:c r="K22" s="6">
        <x:f>IF(I22=0,0,J22/I22)</x:f>
        <x:v>0.6666666666666666</x:v>
      </x:c>
    </x:row>
    <x:row r="23">
      <x:c r="A23" s="4" t="str">
        <x:f>'Original Data'!A23</x:f>
        <x:v>CPT 2211 Database Management</x:v>
      </x:c>
      <x:c r="B23" s="4" t="str">
        <x:f>'Original Data'!B23</x:f>
        <x:v>Fall 2023</x:v>
      </x:c>
      <x:c r="C23" s="5">
        <x:f>SUM('Original Data'!C23:D23)</x:f>
        <x:v>2</x:v>
      </x:c>
      <x:c r="D23" s="5">
        <x:f>SUM('Original Data'!E23:G23)</x:f>
        <x:v>0</x:v>
      </x:c>
      <x:c r="E23" s="5">
        <x:f>SUM('Original Data'!H23:J23)</x:f>
        <x:v>1</x:v>
      </x:c>
      <x:c r="F23" s="5">
        <x:f>SUM('Original Data'!K23:M23)</x:f>
        <x:v>1</x:v>
      </x:c>
      <x:c r="G23" s="5">
        <x:f>'Original Data'!N23</x:f>
        <x:v>1</x:v>
      </x:c>
      <x:c r="H23" s="5">
        <x:f>'Original Data'!O23</x:f>
        <x:v>0</x:v>
      </x:c>
      <x:c r="I23" s="5">
        <x:f>SUM(C23:H23)</x:f>
        <x:v>5</x:v>
      </x:c>
      <x:c r="J23" s="5">
        <x:f>SUM(C23:E23)</x:f>
        <x:v>3</x:v>
      </x:c>
      <x:c r="K23" s="6">
        <x:f>IF(I23=0,0,J23/I23)</x:f>
        <x:v>0.6</x:v>
      </x:c>
    </x:row>
    <x:row r="24">
      <x:c r="A24" s="4" t="str">
        <x:f>'Original Data'!A24</x:f>
        <x:v>CPT 2211 Database Management</x:v>
      </x:c>
      <x:c r="B24" s="4" t="str">
        <x:f>'Original Data'!B24</x:f>
        <x:v>Fall 2024</x:v>
      </x:c>
      <x:c r="C24" s="5">
        <x:f>SUM('Original Data'!C24:D24)</x:f>
        <x:v>3</x:v>
      </x:c>
      <x:c r="D24" s="5">
        <x:f>SUM('Original Data'!E24:G24)</x:f>
        <x:v>4</x:v>
      </x:c>
      <x:c r="E24" s="5">
        <x:f>SUM('Original Data'!H24:J24)</x:f>
        <x:v>0</x:v>
      </x:c>
      <x:c r="F24" s="5">
        <x:f>SUM('Original Data'!K24:M24)</x:f>
        <x:v>1</x:v>
      </x:c>
      <x:c r="G24" s="5">
        <x:f>'Original Data'!N24</x:f>
        <x:v>2</x:v>
      </x:c>
      <x:c r="H24" s="5">
        <x:f>'Original Data'!O24</x:f>
        <x:v>0</x:v>
      </x:c>
      <x:c r="I24" s="5">
        <x:f>SUM(C24:H24)</x:f>
        <x:v>10</x:v>
      </x:c>
      <x:c r="J24" s="5">
        <x:f>SUM(C24:E24)</x:f>
        <x:v>7</x:v>
      </x:c>
      <x:c r="K24" s="6">
        <x:f>IF(I24=0,0,J24/I24)</x:f>
        <x:v>0.7</x:v>
      </x:c>
    </x:row>
    <x:row r="25">
      <x:c r="A25" s="4" t="str">
        <x:f>'Original Data'!A25</x:f>
        <x:v>CPT 2211 Database Management</x:v>
      </x:c>
      <x:c r="B25" s="4" t="str">
        <x:f>'Original Data'!B25</x:f>
        <x:v>Fall 2021</x:v>
      </x:c>
      <x:c r="C25" s="5">
        <x:f>SUM('Original Data'!C25:D25)</x:f>
        <x:v>3</x:v>
      </x:c>
      <x:c r="D25" s="5">
        <x:f>SUM('Original Data'!E25:G25)</x:f>
        <x:v>0</x:v>
      </x:c>
      <x:c r="E25" s="5">
        <x:f>SUM('Original Data'!H25:J25)</x:f>
        <x:v>0</x:v>
      </x:c>
      <x:c r="F25" s="5">
        <x:f>SUM('Original Data'!K25:M25)</x:f>
        <x:v>2</x:v>
      </x:c>
      <x:c r="G25" s="5">
        <x:f>'Original Data'!N25</x:f>
        <x:v>0</x:v>
      </x:c>
      <x:c r="H25" s="5">
        <x:f>'Original Data'!O25</x:f>
        <x:v>1</x:v>
      </x:c>
      <x:c r="I25" s="5">
        <x:f>SUM(C25:H25)</x:f>
        <x:v>6</x:v>
      </x:c>
      <x:c r="J25" s="5">
        <x:f>SUM(C25:E25)</x:f>
        <x:v>3</x:v>
      </x:c>
      <x:c r="K25" s="6">
        <x:f>IF(I25=0,0,J25/I25)</x:f>
        <x:v>0.5</x:v>
      </x:c>
    </x:row>
    <x:row r="26">
      <x:c r="A26" s="4" t="str">
        <x:f>'Original Data'!A26</x:f>
        <x:v>CPT 2216 C++ and Object Oriented Programming</x:v>
      </x:c>
      <x:c r="B26" s="4" t="str">
        <x:f>'Original Data'!B26</x:f>
        <x:v>Fall 2021</x:v>
      </x:c>
      <x:c r="C26" s="5">
        <x:f>SUM('Original Data'!C26:D26)</x:f>
        <x:v>2</x:v>
      </x:c>
      <x:c r="D26" s="5">
        <x:f>SUM('Original Data'!E26:G26)</x:f>
        <x:v>0</x:v>
      </x:c>
      <x:c r="E26" s="5">
        <x:f>SUM('Original Data'!H26:J26)</x:f>
        <x:v>0</x:v>
      </x:c>
      <x:c r="F26" s="5">
        <x:f>SUM('Original Data'!K26:M26)</x:f>
        <x:v>0</x:v>
      </x:c>
      <x:c r="G26" s="5">
        <x:f>'Original Data'!N26</x:f>
        <x:v>0</x:v>
      </x:c>
      <x:c r="H26" s="5">
        <x:f>'Original Data'!O26</x:f>
        <x:v>1</x:v>
      </x:c>
      <x:c r="I26" s="5">
        <x:f>SUM(C26:H26)</x:f>
        <x:v>3</x:v>
      </x:c>
      <x:c r="J26" s="5">
        <x:f>SUM(C26:E26)</x:f>
        <x:v>2</x:v>
      </x:c>
      <x:c r="K26" s="6">
        <x:f>IF(I26=0,0,J26/I26)</x:f>
        <x:v>0.6666666666666666</x:v>
      </x:c>
    </x:row>
    <x:row r="27">
      <x:c r="A27" s="4" t="str">
        <x:f>'Original Data'!A27</x:f>
        <x:v>CPT 2220 Projects</x:v>
      </x:c>
      <x:c r="B27" s="4" t="str">
        <x:f>'Original Data'!B27</x:f>
        <x:v>Sprring 2023</x:v>
      </x:c>
      <x:c r="C27" s="5">
        <x:f>SUM('Original Data'!C27:D27)</x:f>
        <x:v>3</x:v>
      </x:c>
      <x:c r="D27" s="5">
        <x:f>SUM('Original Data'!E27:G27)</x:f>
        <x:v>2</x:v>
      </x:c>
      <x:c r="E27" s="5">
        <x:f>SUM('Original Data'!H27:J27)</x:f>
        <x:v>1</x:v>
      </x:c>
      <x:c r="F27" s="5">
        <x:f>SUM('Original Data'!K27:M27)</x:f>
        <x:v>1</x:v>
      </x:c>
      <x:c r="G27" s="5">
        <x:f>'Original Data'!N27</x:f>
        <x:v>1</x:v>
      </x:c>
      <x:c r="H27" s="5">
        <x:f>'Original Data'!O27</x:f>
        <x:v>0</x:v>
      </x:c>
      <x:c r="I27" s="5">
        <x:f>SUM(C27:H27)</x:f>
        <x:v>8</x:v>
      </x:c>
      <x:c r="J27" s="5">
        <x:f>SUM(C27:E27)</x:f>
        <x:v>6</x:v>
      </x:c>
      <x:c r="K27" s="6">
        <x:f>IF(I27=0,0,J27/I27)</x:f>
        <x:v>0.75</x:v>
      </x:c>
    </x:row>
    <x:row r="28">
      <x:c r="A28" s="4" t="str">
        <x:f>'Original Data'!A28</x:f>
        <x:v>CPT 2220 Projects</x:v>
      </x:c>
      <x:c r="B28" s="4" t="str">
        <x:f>'Original Data'!B28</x:f>
        <x:v>Sprring 2024</x:v>
      </x:c>
      <x:c r="C28" s="5">
        <x:f>SUM('Original Data'!C28:D28)</x:f>
        <x:v>2</x:v>
      </x:c>
      <x:c r="D28" s="5">
        <x:f>SUM('Original Data'!E28:G28)</x:f>
        <x:v>1</x:v>
      </x:c>
      <x:c r="E28" s="5">
        <x:f>SUM('Original Data'!H28:J28)</x:f>
        <x:v>1</x:v>
      </x:c>
      <x:c r="F28" s="5">
        <x:f>SUM('Original Data'!K28:M28)</x:f>
        <x:v>0</x:v>
      </x:c>
      <x:c r="G28" s="5">
        <x:f>'Original Data'!N28</x:f>
        <x:v>1</x:v>
      </x:c>
      <x:c r="H28" s="5">
        <x:f>'Original Data'!O28</x:f>
        <x:v>0</x:v>
      </x:c>
      <x:c r="I28" s="5">
        <x:f>SUM(C28:H28)</x:f>
        <x:v>5</x:v>
      </x:c>
      <x:c r="J28" s="5">
        <x:f>SUM(C28:E28)</x:f>
        <x:v>4</x:v>
      </x:c>
      <x:c r="K28" s="6">
        <x:f>IF(I28=0,0,J28/I28)</x:f>
        <x:v>0.8</x:v>
      </x:c>
    </x:row>
    <x:row r="29">
      <x:c r="A29" s="4" t="str">
        <x:f>'Original Data'!A29</x:f>
        <x:v>CPT 2220 Projects</x:v>
      </x:c>
      <x:c r="B29" s="4" t="str">
        <x:f>'Original Data'!B29</x:f>
        <x:v>Sprring 2025</x:v>
      </x:c>
      <x:c r="C29" s="5">
        <x:f>SUM('Original Data'!C29:D29)</x:f>
        <x:v>2</x:v>
      </x:c>
      <x:c r="D29" s="5">
        <x:f>SUM('Original Data'!E29:G29)</x:f>
        <x:v>0</x:v>
      </x:c>
      <x:c r="E29" s="5">
        <x:f>SUM('Original Data'!H29:J29)</x:f>
        <x:v>0</x:v>
      </x:c>
      <x:c r="F29" s="5">
        <x:f>SUM('Original Data'!K29:M29)</x:f>
        <x:v>1</x:v>
      </x:c>
      <x:c r="G29" s="5">
        <x:f>'Original Data'!N29</x:f>
        <x:v>0</x:v>
      </x:c>
      <x:c r="H29" s="5">
        <x:f>'Original Data'!O29</x:f>
        <x:v>0</x:v>
      </x:c>
      <x:c r="I29" s="5">
        <x:f>SUM(C29:H29)</x:f>
        <x:v>3</x:v>
      </x:c>
      <x:c r="J29" s="5">
        <x:f>SUM(C29:E29)</x:f>
        <x:v>2</x:v>
      </x:c>
      <x:c r="K29" s="6">
        <x:f>IF(I29=0,0,J29/I29)</x:f>
        <x:v>0.6666666666666666</x:v>
      </x:c>
    </x:row>
    <x:row r="30">
      <x:c r="A30" s="4" t="str">
        <x:f>'Original Data'!A30</x:f>
        <x:v>CPT 2226 Object Oriented Programming</x:v>
      </x:c>
      <x:c r="B30" s="4" t="str">
        <x:f>'Original Data'!B30</x:f>
        <x:v>Fall 2022</x:v>
      </x:c>
      <x:c r="C30" s="5">
        <x:f>SUM('Original Data'!C30:D30)</x:f>
        <x:v>5</x:v>
      </x:c>
      <x:c r="D30" s="5">
        <x:f>SUM('Original Data'!E30:G30)</x:f>
        <x:v>1</x:v>
      </x:c>
      <x:c r="E30" s="5">
        <x:f>SUM('Original Data'!H30:J30)</x:f>
        <x:v>0</x:v>
      </x:c>
      <x:c r="F30" s="5">
        <x:f>SUM('Original Data'!K30:M30)</x:f>
        <x:v>1</x:v>
      </x:c>
      <x:c r="G30" s="5">
        <x:f>'Original Data'!N30</x:f>
        <x:v>0</x:v>
      </x:c>
      <x:c r="H30" s="5">
        <x:f>'Original Data'!O30</x:f>
        <x:v>0</x:v>
      </x:c>
      <x:c r="I30" s="5">
        <x:f>SUM(C30:H30)</x:f>
        <x:v>7</x:v>
      </x:c>
      <x:c r="J30" s="5">
        <x:f>SUM(C30:E30)</x:f>
        <x:v>6</x:v>
      </x:c>
      <x:c r="K30" s="6">
        <x:f>IF(I30=0,0,J30/I30)</x:f>
        <x:v>0.8571428571428571</x:v>
      </x:c>
    </x:row>
    <x:row r="31">
      <x:c r="A31" s="4" t="str">
        <x:f>'Original Data'!A31</x:f>
        <x:v>CPT 2226 Object Oriented Programming</x:v>
      </x:c>
      <x:c r="B31" s="4" t="str">
        <x:f>'Original Data'!B31</x:f>
        <x:v>Fall 2024</x:v>
      </x:c>
      <x:c r="C31" s="5">
        <x:f>SUM('Original Data'!C31:D31)</x:f>
        <x:v>5</x:v>
      </x:c>
      <x:c r="D31" s="5">
        <x:f>SUM('Original Data'!E31:G31)</x:f>
        <x:v>1</x:v>
      </x:c>
      <x:c r="E31" s="5">
        <x:f>SUM('Original Data'!H31:J31)</x:f>
        <x:v>0</x:v>
      </x:c>
      <x:c r="F31" s="5">
        <x:f>SUM('Original Data'!K31:M31)</x:f>
        <x:v>0</x:v>
      </x:c>
      <x:c r="G31" s="5">
        <x:f>'Original Data'!N31</x:f>
        <x:v>1</x:v>
      </x:c>
      <x:c r="H31" s="5">
        <x:f>'Original Data'!O31</x:f>
        <x:v>0</x:v>
      </x:c>
      <x:c r="I31" s="5">
        <x:f>SUM(C31:H31)</x:f>
        <x:v>7</x:v>
      </x:c>
      <x:c r="J31" s="5">
        <x:f>SUM(C31:E31)</x:f>
        <x:v>6</x:v>
      </x:c>
      <x:c r="K31" s="6">
        <x:f>IF(I31=0,0,J31/I31)</x:f>
        <x:v>0.8571428571428571</x:v>
      </x:c>
    </x:row>
    <x:row r="32">
      <x:c r="A32" s="4" t="str">
        <x:f>'Original Data'!A32</x:f>
        <x:v>CPT 2226 Object Oriented Programming</x:v>
      </x:c>
      <x:c r="B32" s="4" t="str">
        <x:f>'Original Data'!B32</x:f>
        <x:v>Fall 2023</x:v>
      </x:c>
      <x:c r="C32" s="5">
        <x:f>SUM('Original Data'!C32:D32)</x:f>
        <x:v>2</x:v>
      </x:c>
      <x:c r="D32" s="5">
        <x:f>SUM('Original Data'!E32:G32)</x:f>
        <x:v>0</x:v>
      </x:c>
      <x:c r="E32" s="5">
        <x:f>SUM('Original Data'!H32:J32)</x:f>
        <x:v>1</x:v>
      </x:c>
      <x:c r="F32" s="5">
        <x:f>SUM('Original Data'!K32:M32)</x:f>
        <x:v>0</x:v>
      </x:c>
      <x:c r="G32" s="5">
        <x:f>'Original Data'!N32</x:f>
        <x:v>1</x:v>
      </x:c>
      <x:c r="H32" s="5">
        <x:f>'Original Data'!O32</x:f>
        <x:v>0</x:v>
      </x:c>
      <x:c r="I32" s="5">
        <x:f>SUM(C32:H32)</x:f>
        <x:v>4</x:v>
      </x:c>
      <x:c r="J32" s="5">
        <x:f>SUM(C32:E32)</x:f>
        <x:v>3</x:v>
      </x:c>
      <x:c r="K32" s="6">
        <x:f>IF(I32=0,0,J32/I32)</x:f>
        <x:v>0.75</x:v>
      </x:c>
    </x:row>
    <x:row r="33">
      <x:c r="A33" s="4" t="str">
        <x:f>'Original Data'!A33</x:f>
        <x:v>CPT 2250 Cybersecurity</x:v>
      </x:c>
      <x:c r="B33" s="4" t="str">
        <x:f>'Original Data'!B33</x:f>
        <x:v>Sprring 2025</x:v>
      </x:c>
      <x:c r="C33" s="5">
        <x:f>SUM('Original Data'!C33:D33)</x:f>
        <x:v>5</x:v>
      </x:c>
      <x:c r="D33" s="5">
        <x:f>SUM('Original Data'!E33:G33)</x:f>
        <x:v>1</x:v>
      </x:c>
      <x:c r="E33" s="5">
        <x:f>SUM('Original Data'!H33:J33)</x:f>
        <x:v>0</x:v>
      </x:c>
      <x:c r="F33" s="5">
        <x:f>SUM('Original Data'!K33:M33)</x:f>
        <x:v>0</x:v>
      </x:c>
      <x:c r="G33" s="5">
        <x:f>'Original Data'!N33</x:f>
        <x:v>1</x:v>
      </x:c>
      <x:c r="H33" s="5">
        <x:f>'Original Data'!O33</x:f>
        <x:v>1</x:v>
      </x:c>
      <x:c r="I33" s="5">
        <x:f>SUM(C33:H33)</x:f>
        <x:v>8</x:v>
      </x:c>
      <x:c r="J33" s="5">
        <x:f>SUM(C33:E33)</x:f>
        <x:v>6</x:v>
      </x:c>
      <x:c r="K33" s="6">
        <x:f>IF(I33=0,0,J33/I33)</x:f>
        <x:v>0.75</x:v>
      </x:c>
    </x:row>
    <x:row r="34">
      <x:c r="A34" s="4" t="str">
        <x:f>'Original Data'!A34</x:f>
        <x:v>CPT 2607 Data Structures</x:v>
      </x:c>
      <x:c r="B34" s="4" t="str">
        <x:f>'Original Data'!B34</x:f>
        <x:v>Sprring 2023</x:v>
      </x:c>
      <x:c r="C34" s="5">
        <x:f>SUM('Original Data'!C34:D34)</x:f>
        <x:v>2</x:v>
      </x:c>
      <x:c r="D34" s="5">
        <x:f>SUM('Original Data'!E34:G34)</x:f>
        <x:v>3</x:v>
      </x:c>
      <x:c r="E34" s="5">
        <x:f>SUM('Original Data'!H34:J34)</x:f>
        <x:v>0</x:v>
      </x:c>
      <x:c r="F34" s="5">
        <x:f>SUM('Original Data'!K34:M34)</x:f>
        <x:v>0</x:v>
      </x:c>
      <x:c r="G34" s="5">
        <x:f>'Original Data'!N34</x:f>
        <x:v>1</x:v>
      </x:c>
      <x:c r="H34" s="5">
        <x:f>'Original Data'!O34</x:f>
        <x:v>0</x:v>
      </x:c>
      <x:c r="I34" s="5">
        <x:f>SUM(C34:H34)</x:f>
        <x:v>6</x:v>
      </x:c>
      <x:c r="J34" s="5">
        <x:f>SUM(C34:E34)</x:f>
        <x:v>5</x:v>
      </x:c>
      <x:c r="K34" s="6">
        <x:f>IF(I34=0,0,J34/I34)</x:f>
        <x:v>0.8333333333333334</x:v>
      </x:c>
    </x:row>
    <x:row r="35">
      <x:c r="A35" s="4" t="str">
        <x:f>'Original Data'!A35</x:f>
        <x:v>CPT 2607 Data Structures</x:v>
      </x:c>
      <x:c r="B35" s="4" t="str">
        <x:f>'Original Data'!B35</x:f>
        <x:v>Sprring 2024</x:v>
      </x:c>
      <x:c r="C35" s="5">
        <x:f>SUM('Original Data'!C35:D35)</x:f>
        <x:v>1</x:v>
      </x:c>
      <x:c r="D35" s="5">
        <x:f>SUM('Original Data'!E35:G35)</x:f>
        <x:v>2</x:v>
      </x:c>
      <x:c r="E35" s="5">
        <x:f>SUM('Original Data'!H35:J35)</x:f>
        <x:v>0</x:v>
      </x:c>
      <x:c r="F35" s="5">
        <x:f>SUM('Original Data'!K35:M35)</x:f>
        <x:v>1</x:v>
      </x:c>
      <x:c r="G35" s="5">
        <x:f>'Original Data'!N35</x:f>
        <x:v>0</x:v>
      </x:c>
      <x:c r="H35" s="5">
        <x:f>'Original Data'!O35</x:f>
        <x:v>0</x:v>
      </x:c>
      <x:c r="I35" s="5">
        <x:f>SUM(C35:H35)</x:f>
        <x:v>4</x:v>
      </x:c>
      <x:c r="J35" s="5">
        <x:f>SUM(C35:E35)</x:f>
        <x:v>3</x:v>
      </x:c>
      <x:c r="K35" s="6">
        <x:f>IF(I35=0,0,J35/I35)</x:f>
        <x:v>0.75</x:v>
      </x:c>
    </x:row>
    <x:row r="36">
      <x:c r="A36" s="4" t="str">
        <x:f>'Original Data'!A36</x:f>
        <x:v>CPT 2607 Data Structures</x:v>
      </x:c>
      <x:c r="B36" s="4" t="str">
        <x:f>'Original Data'!B36</x:f>
        <x:v>Sprring 2025</x:v>
      </x:c>
      <x:c r="C36" s="5">
        <x:f>SUM('Original Data'!C36:D36)</x:f>
        <x:v>3</x:v>
      </x:c>
      <x:c r="D36" s="5">
        <x:f>SUM('Original Data'!E36:G36)</x:f>
        <x:v>1</x:v>
      </x:c>
      <x:c r="E36" s="5">
        <x:f>SUM('Original Data'!H36:J36)</x:f>
        <x:v>0</x:v>
      </x:c>
      <x:c r="F36" s="5">
        <x:f>SUM('Original Data'!K36:M36)</x:f>
        <x:v>0</x:v>
      </x:c>
      <x:c r="G36" s="5">
        <x:f>'Original Data'!N36</x:f>
        <x:v>0</x:v>
      </x:c>
      <x:c r="H36" s="5">
        <x:f>'Original Data'!O36</x:f>
        <x:v>0</x:v>
      </x:c>
      <x:c r="I36" s="5">
        <x:f>SUM(C36:H36)</x:f>
        <x:v>4</x:v>
      </x:c>
      <x:c r="J36" s="5">
        <x:f>SUM(C36:E36)</x:f>
        <x:v>4</x:v>
      </x:c>
      <x:c r="K36" s="6">
        <x:f>IF(I36=0,0,J36/I36)</x:f>
        <x:v>1</x:v>
      </x:c>
    </x:row>
    <x:row r="37">
      <x:c r="A37" s="4" t="str">
        <x:f>'Original Data'!A37</x:f>
        <x:v>CPT 2607 Data Structures</x:v>
      </x:c>
      <x:c r="B37" s="4" t="str">
        <x:f>'Original Data'!B37</x:f>
        <x:v>Sprring 2022</x:v>
      </x:c>
      <x:c r="C37" s="5">
        <x:f>SUM('Original Data'!C37:D37)</x:f>
        <x:v>2</x:v>
      </x:c>
      <x:c r="D37" s="5">
        <x:f>SUM('Original Data'!E37:G37)</x:f>
        <x:v>0</x:v>
      </x:c>
      <x:c r="E37" s="5">
        <x:f>SUM('Original Data'!H37:J37)</x:f>
        <x:v>0</x:v>
      </x:c>
      <x:c r="F37" s="5">
        <x:f>SUM('Original Data'!K37:M37)</x:f>
        <x:v>0</x:v>
      </x:c>
      <x:c r="G37" s="5">
        <x:f>'Original Data'!N37</x:f>
        <x:v>0</x:v>
      </x:c>
      <x:c r="H37" s="5">
        <x:f>'Original Data'!O37</x:f>
        <x:v>0</x:v>
      </x:c>
      <x:c r="I37" s="5">
        <x:f>SUM(C37:H37)</x:f>
        <x:v>2</x:v>
      </x:c>
      <x:c r="J37" s="5">
        <x:f>SUM(C37:E37)</x:f>
        <x:v>2</x:v>
      </x:c>
      <x:c r="K37" s="6">
        <x:f>IF(I37=0,0,J37/I37)</x:f>
        <x:v>1</x:v>
      </x:c>
    </x:row>
    <x:row r="38">
      <x:c r="A38" s="4" t="str">
        <x:f>'Original Data'!A38</x:f>
        <x:v>CPT 2611 Systems Analysis</x:v>
      </x:c>
      <x:c r="B38" s="4" t="str">
        <x:f>'Original Data'!B38</x:f>
        <x:v>Sprring 2023</x:v>
      </x:c>
      <x:c r="C38" s="5">
        <x:f>SUM('Original Data'!C38:D38)</x:f>
        <x:v>3</x:v>
      </x:c>
      <x:c r="D38" s="5">
        <x:f>SUM('Original Data'!E38:G38)</x:f>
        <x:v>1</x:v>
      </x:c>
      <x:c r="E38" s="5">
        <x:f>SUM('Original Data'!H38:J38)</x:f>
        <x:v>2</x:v>
      </x:c>
      <x:c r="F38" s="5">
        <x:f>SUM('Original Data'!K38:M38)</x:f>
        <x:v>0</x:v>
      </x:c>
      <x:c r="G38" s="5">
        <x:f>'Original Data'!N38</x:f>
        <x:v>1</x:v>
      </x:c>
      <x:c r="H38" s="5">
        <x:f>'Original Data'!O38</x:f>
        <x:v>0</x:v>
      </x:c>
      <x:c r="I38" s="5">
        <x:f>SUM(C38:H38)</x:f>
        <x:v>7</x:v>
      </x:c>
      <x:c r="J38" s="5">
        <x:f>SUM(C38:E38)</x:f>
        <x:v>6</x:v>
      </x:c>
      <x:c r="K38" s="6">
        <x:f>IF(I38=0,0,J38/I38)</x:f>
        <x:v>0.8571428571428571</x:v>
      </x:c>
    </x:row>
    <x:row r="39">
      <x:c r="A39" s="4" t="str">
        <x:f>'Original Data'!A39</x:f>
        <x:v>CPT 2611 Systems Analysis</x:v>
      </x:c>
      <x:c r="B39" s="4" t="str">
        <x:f>'Original Data'!B39</x:f>
        <x:v>Sprring 2024</x:v>
      </x:c>
      <x:c r="C39" s="5">
        <x:f>SUM('Original Data'!C39:D39)</x:f>
        <x:v>1</x:v>
      </x:c>
      <x:c r="D39" s="5">
        <x:f>SUM('Original Data'!E39:G39)</x:f>
        <x:v>2</x:v>
      </x:c>
      <x:c r="E39" s="5">
        <x:f>SUM('Original Data'!H39:J39)</x:f>
        <x:v>1</x:v>
      </x:c>
      <x:c r="F39" s="5">
        <x:f>SUM('Original Data'!K39:M39)</x:f>
        <x:v>0</x:v>
      </x:c>
      <x:c r="G39" s="5">
        <x:f>'Original Data'!N39</x:f>
        <x:v>2</x:v>
      </x:c>
      <x:c r="H39" s="5">
        <x:f>'Original Data'!O39</x:f>
        <x:v>0</x:v>
      </x:c>
      <x:c r="I39" s="5">
        <x:f>SUM(C39:H39)</x:f>
        <x:v>6</x:v>
      </x:c>
      <x:c r="J39" s="5">
        <x:f>SUM(C39:E39)</x:f>
        <x:v>4</x:v>
      </x:c>
      <x:c r="K39" s="6">
        <x:f>IF(I39=0,0,J39/I39)</x:f>
        <x:v>0.6666666666666666</x:v>
      </x:c>
    </x:row>
    <x:row r="40">
      <x:c r="A40" s="4" t="str">
        <x:f>'Original Data'!A40</x:f>
        <x:v>CPT 2611 Systems Analysis</x:v>
      </x:c>
      <x:c r="B40" s="4" t="str">
        <x:f>'Original Data'!B40</x:f>
        <x:v>Sprring 2022</x:v>
      </x:c>
      <x:c r="C40" s="5">
        <x:f>SUM('Original Data'!C40:D40)</x:f>
        <x:v>3</x:v>
      </x:c>
      <x:c r="D40" s="5">
        <x:f>SUM('Original Data'!E40:G40)</x:f>
        <x:v>0</x:v>
      </x:c>
      <x:c r="E40" s="5">
        <x:f>SUM('Original Data'!H40:J40)</x:f>
        <x:v>0</x:v>
      </x:c>
      <x:c r="F40" s="5">
        <x:f>SUM('Original Data'!K40:M40)</x:f>
        <x:v>0</x:v>
      </x:c>
      <x:c r="G40" s="5">
        <x:f>'Original Data'!N40</x:f>
        <x:v>1</x:v>
      </x:c>
      <x:c r="H40" s="5">
        <x:f>'Original Data'!O40</x:f>
        <x:v>0</x:v>
      </x:c>
      <x:c r="I40" s="5">
        <x:f>SUM(C40:H40)</x:f>
        <x:v>4</x:v>
      </x:c>
      <x:c r="J40" s="5">
        <x:f>SUM(C40:E40)</x:f>
        <x:v>3</x:v>
      </x:c>
      <x:c r="K40" s="6">
        <x:f>IF(I40=0,0,J40/I40)</x:f>
        <x:v>0.75</x:v>
      </x:c>
    </x:row>
    <x:row r="41">
      <x:c r="A41" s="4" t="str">
        <x:f>'Original Data'!A41</x:f>
        <x:v>CPT-1405  Programming in MS Visual Basic</x:v>
      </x:c>
      <x:c r="B41" s="4" t="str">
        <x:f>'Original Data'!B41</x:f>
        <x:v>Sprring 2022</x:v>
      </x:c>
      <x:c r="C41" s="5">
        <x:f>SUM('Original Data'!C41:D41)</x:f>
        <x:v>3</x:v>
      </x:c>
      <x:c r="D41" s="5">
        <x:f>SUM('Original Data'!E41:G41)</x:f>
        <x:v>1</x:v>
      </x:c>
      <x:c r="E41" s="5">
        <x:f>SUM('Original Data'!H41:J41)</x:f>
        <x:v>3</x:v>
      </x:c>
      <x:c r="F41" s="5">
        <x:f>SUM('Original Data'!K41:M41)</x:f>
        <x:v>1</x:v>
      </x:c>
      <x:c r="G41" s="5">
        <x:f>'Original Data'!N41</x:f>
        <x:v>1</x:v>
      </x:c>
      <x:c r="H41" s="5">
        <x:f>'Original Data'!O41</x:f>
        <x:v>1</x:v>
      </x:c>
      <x:c r="I41" s="5">
        <x:f>SUM(C41:H41)</x:f>
        <x:v>10</x:v>
      </x:c>
      <x:c r="J41" s="5">
        <x:f>SUM(C41:E41)</x:f>
        <x:v>7</x:v>
      </x:c>
      <x:c r="K41" s="6">
        <x:f>IF(I41=0,0,J41/I41)</x:f>
        <x:v>0.7</x:v>
      </x:c>
    </x:row>
    <x:row r="43">
      <x:c r="A43" s="7" t="inlineStr">
        <x:is>
          <x:t xml:space="preserve">Overall Totals</x:t>
        </x:is>
      </x:c>
      <x:c r="B43" s="8" t="n"/>
      <x:c r="C43" s="9">
        <x:f>SUM(C2:C41)</x:f>
        <x:v>143</x:v>
      </x:c>
      <x:c r="D43" s="9">
        <x:f>SUM(D2:D41)</x:f>
        <x:v>54</x:v>
      </x:c>
      <x:c r="E43" s="9">
        <x:f>SUM(E2:E41)</x:f>
        <x:v>39</x:v>
      </x:c>
      <x:c r="F43" s="9">
        <x:f>SUM(F2:F41)</x:f>
        <x:v>25</x:v>
      </x:c>
      <x:c r="G43" s="9">
        <x:f>SUM(G2:G41)</x:f>
        <x:v>80</x:v>
      </x:c>
      <x:c r="H43" s="9">
        <x:f>SUM(H2:H41)</x:f>
        <x:v>21</x:v>
      </x:c>
      <x:c r="I43" s="9">
        <x:f>SUM(I2:I41)</x:f>
        <x:v>362</x:v>
      </x:c>
      <x:c r="J43" s="9">
        <x:f>SUM(J2:J41)</x:f>
        <x:v>236</x:v>
      </x:c>
      <x:c r="K43" s="10">
        <x:f>IF(I43=0,0,J43/I43)</x:f>
        <x:v>0.6519337016574586</x:v>
      </x:c>
    </x:row>
  </x:sheetData>
  <x:pageMargins left="0.7" right="0.7" top="0.75" bottom="0.75" header="0.3" footer="0.3"/>
  <x:tableParts count="1">
    <x:tablePart xmlns:r="http://schemas.openxmlformats.org/officeDocument/2006/relationships" r:id="R05d3c526e294494d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0.5" customWidth="1"/>
    <x:col min="2" max="2" width="17.1640625" customWidth="1"/>
  </x:cols>
  <x:sheetData>
    <x:row r="1">
      <x:c r="A1" s="11" t="inlineStr">
        <x:is>
          <x:t xml:space="preserve">Course </x:t>
        </x:is>
      </x:c>
      <x:c r="B1" s="11" t="inlineStr">
        <x:is>
          <x:t xml:space="preserve">Semester</x:t>
        </x:is>
      </x:c>
      <x:c r="C1" s="11" t="inlineStr">
        <x:is>
          <x:t xml:space="preserve">A</x:t>
        </x:is>
      </x:c>
      <x:c r="D1" s="11" t="inlineStr">
        <x:is>
          <x:t xml:space="preserve">A-</x:t>
        </x:is>
      </x:c>
      <x:c r="E1" s="11" t="inlineStr">
        <x:is>
          <x:t xml:space="preserve">B+</x:t>
        </x:is>
      </x:c>
      <x:c r="F1" s="11" t="inlineStr">
        <x:is>
          <x:t xml:space="preserve">B</x:t>
        </x:is>
      </x:c>
      <x:c r="G1" s="11" t="inlineStr">
        <x:is>
          <x:t xml:space="preserve">B-</x:t>
        </x:is>
      </x:c>
      <x:c r="H1" s="11" t="inlineStr">
        <x:is>
          <x:t xml:space="preserve">C+</x:t>
        </x:is>
      </x:c>
      <x:c r="I1" s="11" t="inlineStr">
        <x:is>
          <x:t xml:space="preserve">C</x:t>
        </x:is>
      </x:c>
      <x:c r="J1" s="11" t="inlineStr">
        <x:is>
          <x:t xml:space="preserve">C-</x:t>
        </x:is>
      </x:c>
      <x:c r="K1" s="11" t="inlineStr">
        <x:is>
          <x:t xml:space="preserve">D+</x:t>
        </x:is>
      </x:c>
      <x:c r="L1" s="11" t="inlineStr">
        <x:is>
          <x:t xml:space="preserve">D</x:t>
        </x:is>
      </x:c>
      <x:c r="M1" s="11" t="inlineStr">
        <x:is>
          <x:t xml:space="preserve">D-</x:t>
        </x:is>
      </x:c>
      <x:c r="N1" s="11" t="inlineStr">
        <x:is>
          <x:t xml:space="preserve">F</x:t>
        </x:is>
      </x:c>
      <x:c r="O1" s="11" t="inlineStr">
        <x:is>
          <x:t xml:space="preserve">W</x:t>
        </x:is>
      </x:c>
    </x:row>
    <x:row r="2">
      <x:c r="A2" s="11" t="inlineStr">
        <x:is>
          <x:t xml:space="preserve">CPT 1161  Networking Essentials</x:t>
        </x:is>
      </x:c>
      <x:c r="B2" s="11" t="inlineStr">
        <x:is>
          <x:t xml:space="preserve">Fall 2021</x:t>
        </x:is>
      </x:c>
      <x:c r="C2" s="11" t="n">
        <x:v>3</x:v>
      </x:c>
      <x:c r="D2" s="11" t="n">
        <x:v>1</x:v>
      </x:c>
      <x:c r="E2" s="11" t="n">
        <x:v>1</x:v>
      </x:c>
      <x:c r="F2" s="11" t="n">
        <x:v>1</x:v>
      </x:c>
      <x:c r="G2" s="11" t="n">
        <x:v>0</x:v>
      </x:c>
      <x:c r="H2" s="11" t="n">
        <x:v>0</x:v>
      </x:c>
      <x:c r="I2" s="11" t="n">
        <x:v>0</x:v>
      </x:c>
      <x:c r="J2" s="11" t="n">
        <x:v>0</x:v>
      </x:c>
      <x:c r="K2" s="11" t="n">
        <x:v>0</x:v>
      </x:c>
      <x:c r="L2" s="11" t="n">
        <x:v>0</x:v>
      </x:c>
      <x:c r="M2" s="11" t="n">
        <x:v>0</x:v>
      </x:c>
      <x:c r="N2" s="11" t="n">
        <x:v>0</x:v>
      </x:c>
      <x:c r="O2" s="11" t="n">
        <x:v>0</x:v>
      </x:c>
    </x:row>
    <x:row r="3">
      <x:c r="A3" s="11" t="inlineStr">
        <x:is>
          <x:t xml:space="preserve">CPT 1161  Networking Essentials</x:t>
        </x:is>
      </x:c>
      <x:c r="B3" s="11" t="inlineStr">
        <x:is>
          <x:t xml:space="preserve">Fall 2024</x:t>
        </x:is>
      </x:c>
      <x:c r="C3" s="11" t="n">
        <x:v>3</x:v>
      </x:c>
      <x:c r="D3" s="11" t="n">
        <x:v>0</x:v>
      </x:c>
      <x:c r="E3" s="11" t="n">
        <x:v>0</x:v>
      </x:c>
      <x:c r="F3" s="11" t="n">
        <x:v>2</x:v>
      </x:c>
      <x:c r="G3" s="11" t="n">
        <x:v>0</x:v>
      </x:c>
      <x:c r="H3" s="11" t="n">
        <x:v>0</x:v>
      </x:c>
      <x:c r="I3" s="11" t="n">
        <x:v>0</x:v>
      </x:c>
      <x:c r="J3" s="11" t="n">
        <x:v>0</x:v>
      </x:c>
      <x:c r="K3" s="11" t="n">
        <x:v>0</x:v>
      </x:c>
      <x:c r="L3" s="11" t="n">
        <x:v>1</x:v>
      </x:c>
      <x:c r="M3" s="11" t="n">
        <x:v>0</x:v>
      </x:c>
      <x:c r="N3" s="11" t="n">
        <x:v>1</x:v>
      </x:c>
      <x:c r="O3" s="11" t="n">
        <x:v>0</x:v>
      </x:c>
    </x:row>
    <x:row r="4">
      <x:c r="A4" s="11" t="inlineStr">
        <x:is>
          <x:t xml:space="preserve">CPT 1200 IT Fundementals</x:t>
        </x:is>
      </x:c>
      <x:c r="B4" s="11" t="inlineStr">
        <x:is>
          <x:t xml:space="preserve">Sprring 2025</x:t>
        </x:is>
      </x:c>
      <x:c r="C4" s="11" t="n">
        <x:v>4</x:v>
      </x:c>
      <x:c r="D4" s="11" t="n">
        <x:v>0</x:v>
      </x:c>
      <x:c r="E4" s="11" t="n">
        <x:v>0</x:v>
      </x:c>
      <x:c r="F4" s="11" t="n">
        <x:v>1</x:v>
      </x:c>
      <x:c r="G4" s="11" t="n">
        <x:v>0</x:v>
      </x:c>
      <x:c r="H4" s="11" t="n">
        <x:v>0</x:v>
      </x:c>
      <x:c r="I4" s="11" t="n">
        <x:v>3</x:v>
      </x:c>
      <x:c r="J4" s="11" t="n">
        <x:v>0</x:v>
      </x:c>
      <x:c r="K4" s="11" t="n">
        <x:v>0</x:v>
      </x:c>
      <x:c r="L4" s="11" t="n">
        <x:v>0</x:v>
      </x:c>
      <x:c r="M4" s="11" t="n">
        <x:v>0</x:v>
      </x:c>
      <x:c r="N4" s="11" t="n">
        <x:v>2</x:v>
      </x:c>
      <x:c r="O4" s="11" t="n">
        <x:v>1</x:v>
      </x:c>
    </x:row>
    <x:row r="5">
      <x:c r="A5" s="11" t="inlineStr">
        <x:is>
          <x:t xml:space="preserve">CPT 1203 HTML</x:t>
        </x:is>
      </x:c>
      <x:c r="B5" s="11" t="inlineStr">
        <x:is>
          <x:t xml:space="preserve">Sprring 2022</x:t>
        </x:is>
      </x:c>
      <x:c r="C5" s="11" t="n">
        <x:v>4</x:v>
      </x:c>
      <x:c r="D5" s="11" t="n">
        <x:v>0</x:v>
      </x:c>
      <x:c r="E5" s="11" t="n">
        <x:v>1</x:v>
      </x:c>
      <x:c r="F5" s="11" t="n">
        <x:v>0</x:v>
      </x:c>
      <x:c r="G5" s="11" t="n">
        <x:v>0</x:v>
      </x:c>
      <x:c r="H5" s="11" t="n">
        <x:v>0</x:v>
      </x:c>
      <x:c r="I5" s="11" t="n">
        <x:v>1</x:v>
      </x:c>
      <x:c r="J5" s="11" t="n">
        <x:v>0</x:v>
      </x:c>
      <x:c r="K5" s="11" t="n">
        <x:v>0</x:v>
      </x:c>
      <x:c r="L5" s="11" t="n">
        <x:v>0</x:v>
      </x:c>
      <x:c r="M5" s="11" t="n">
        <x:v>0</x:v>
      </x:c>
      <x:c r="N5" s="11" t="n">
        <x:v>2</x:v>
      </x:c>
      <x:c r="O5" s="11" t="n">
        <x:v>0</x:v>
      </x:c>
    </x:row>
    <x:row r="6">
      <x:c r="A6" s="11" t="inlineStr">
        <x:is>
          <x:t xml:space="preserve">CPT 1203 HTML</x:t>
        </x:is>
      </x:c>
      <x:c r="B6" s="11" t="inlineStr">
        <x:is>
          <x:t xml:space="preserve">Sprring 2024</x:t>
        </x:is>
      </x:c>
      <x:c r="C6" s="11" t="n">
        <x:v>1</x:v>
      </x:c>
      <x:c r="D6" s="11" t="n">
        <x:v>1</x:v>
      </x:c>
      <x:c r="E6" s="11" t="n">
        <x:v>2</x:v>
      </x:c>
      <x:c r="F6" s="11" t="n">
        <x:v>2</x:v>
      </x:c>
      <x:c r="G6" s="11" t="n">
        <x:v>0</x:v>
      </x:c>
      <x:c r="H6" s="11" t="n">
        <x:v>4</x:v>
      </x:c>
      <x:c r="I6" s="11" t="n">
        <x:v>0</x:v>
      </x:c>
      <x:c r="J6" s="11" t="n">
        <x:v>2</x:v>
      </x:c>
      <x:c r="K6" s="11" t="n">
        <x:v>1</x:v>
      </x:c>
      <x:c r="L6" s="11" t="n">
        <x:v>1</x:v>
      </x:c>
      <x:c r="M6" s="11" t="n">
        <x:v>0</x:v>
      </x:c>
      <x:c r="N6" s="11" t="n">
        <x:v>10</x:v>
      </x:c>
      <x:c r="O6" s="11" t="n">
        <x:v>2</x:v>
      </x:c>
    </x:row>
    <x:row r="7">
      <x:c r="A7" s="11" t="inlineStr">
        <x:is>
          <x:t xml:space="preserve">CPT 1209 Computer Hardware</x:t>
        </x:is>
      </x:c>
      <x:c r="B7" s="11" t="inlineStr">
        <x:is>
          <x:t xml:space="preserve">Fall 2024</x:t>
        </x:is>
      </x:c>
      <x:c r="C7" s="11" t="n">
        <x:v>8</x:v>
      </x:c>
      <x:c r="D7" s="11" t="n">
        <x:v>0</x:v>
      </x:c>
      <x:c r="E7" s="11" t="n">
        <x:v>0</x:v>
      </x:c>
      <x:c r="F7" s="11" t="n">
        <x:v>0</x:v>
      </x:c>
      <x:c r="G7" s="11" t="n">
        <x:v>0</x:v>
      </x:c>
      <x:c r="H7" s="11" t="n">
        <x:v>0</x:v>
      </x:c>
      <x:c r="I7" s="11" t="n">
        <x:v>0</x:v>
      </x:c>
      <x:c r="J7" s="11" t="n">
        <x:v>0</x:v>
      </x:c>
      <x:c r="K7" s="11" t="n">
        <x:v>0</x:v>
      </x:c>
      <x:c r="L7" s="11" t="n">
        <x:v>2</x:v>
      </x:c>
      <x:c r="M7" s="11" t="n">
        <x:v>0</x:v>
      </x:c>
      <x:c r="N7" s="11" t="n">
        <x:v>1</x:v>
      </x:c>
      <x:c r="O7" s="11" t="n">
        <x:v>0</x:v>
      </x:c>
    </x:row>
    <x:row r="8">
      <x:c r="A8" s="11" t="inlineStr">
        <x:is>
          <x:t xml:space="preserve">CPT 1300  Introduction to Computer Science</x:t>
        </x:is>
      </x:c>
      <x:c r="B8" s="11" t="inlineStr">
        <x:is>
          <x:t xml:space="preserve">Fall 2021</x:t>
        </x:is>
      </x:c>
      <x:c r="C8" s="11" t="n">
        <x:v>3</x:v>
      </x:c>
      <x:c r="D8" s="11" t="n">
        <x:v>0</x:v>
      </x:c>
      <x:c r="E8" s="11" t="n">
        <x:v>1</x:v>
      </x:c>
      <x:c r="F8" s="11" t="n">
        <x:v>0</x:v>
      </x:c>
      <x:c r="G8" s="11" t="n">
        <x:v>1</x:v>
      </x:c>
      <x:c r="H8" s="11" t="n">
        <x:v>3</x:v>
      </x:c>
      <x:c r="I8" s="11" t="n">
        <x:v>1</x:v>
      </x:c>
      <x:c r="J8" s="11" t="n">
        <x:v>0</x:v>
      </x:c>
      <x:c r="K8" s="11" t="n">
        <x:v>1</x:v>
      </x:c>
      <x:c r="L8" s="11" t="n">
        <x:v>0</x:v>
      </x:c>
      <x:c r="M8" s="11" t="n">
        <x:v>0</x:v>
      </x:c>
      <x:c r="N8" s="11" t="n">
        <x:v>3</x:v>
      </x:c>
      <x:c r="O8" s="11" t="n">
        <x:v>2</x:v>
      </x:c>
    </x:row>
    <x:row r="9">
      <x:c r="A9" s="11" t="inlineStr">
        <x:is>
          <x:t xml:space="preserve">CPT 1300  Introduction to Computer Science</x:t>
        </x:is>
      </x:c>
      <x:c r="B9" s="11" t="inlineStr">
        <x:is>
          <x:t xml:space="preserve">Fall 2022</x:t>
        </x:is>
      </x:c>
      <x:c r="C9" s="11" t="n">
        <x:v>6</x:v>
      </x:c>
      <x:c r="D9" s="11" t="n">
        <x:v>0</x:v>
      </x:c>
      <x:c r="E9" s="11" t="n">
        <x:v>0</x:v>
      </x:c>
      <x:c r="F9" s="11" t="n">
        <x:v>1</x:v>
      </x:c>
      <x:c r="G9" s="11" t="n">
        <x:v>0</x:v>
      </x:c>
      <x:c r="H9" s="11" t="n">
        <x:v>0</x:v>
      </x:c>
      <x:c r="I9" s="11" t="n">
        <x:v>0</x:v>
      </x:c>
      <x:c r="J9" s="11" t="n">
        <x:v>0</x:v>
      </x:c>
      <x:c r="K9" s="11" t="n">
        <x:v>0</x:v>
      </x:c>
      <x:c r="L9" s="11" t="n">
        <x:v>1</x:v>
      </x:c>
      <x:c r="M9" s="11" t="n">
        <x:v>0</x:v>
      </x:c>
      <x:c r="N9" s="11" t="n">
        <x:v>10</x:v>
      </x:c>
      <x:c r="O9" s="11" t="n">
        <x:v>3</x:v>
      </x:c>
    </x:row>
    <x:row r="10">
      <x:c r="A10" s="11" t="inlineStr">
        <x:is>
          <x:t xml:space="preserve">CPT 1301  Logic and Problem Solving</x:t>
        </x:is>
      </x:c>
      <x:c r="B10" s="11" t="inlineStr">
        <x:is>
          <x:t xml:space="preserve">Fall 2021</x:t>
        </x:is>
      </x:c>
      <x:c r="C10" s="11" t="n">
        <x:v>4</x:v>
      </x:c>
      <x:c r="D10" s="11" t="n">
        <x:v>0</x:v>
      </x:c>
      <x:c r="E10" s="11" t="n">
        <x:v>1</x:v>
      </x:c>
      <x:c r="F10" s="11" t="n">
        <x:v>1</x:v>
      </x:c>
      <x:c r="G10" s="11" t="n">
        <x:v>0</x:v>
      </x:c>
      <x:c r="H10" s="11" t="n">
        <x:v>2</x:v>
      </x:c>
      <x:c r="I10" s="11" t="n">
        <x:v>0</x:v>
      </x:c>
      <x:c r="J10" s="11" t="n">
        <x:v>0</x:v>
      </x:c>
      <x:c r="K10" s="11" t="n">
        <x:v>0</x:v>
      </x:c>
      <x:c r="L10" s="11" t="n">
        <x:v>0</x:v>
      </x:c>
      <x:c r="M10" s="11" t="n">
        <x:v>0</x:v>
      </x:c>
      <x:c r="N10" s="11" t="n">
        <x:v>3</x:v>
      </x:c>
      <x:c r="O10" s="11" t="n">
        <x:v>3</x:v>
      </x:c>
    </x:row>
    <x:row r="11">
      <x:c r="A11" s="11" t="inlineStr">
        <x:is>
          <x:t xml:space="preserve">CPT 1301  Logic and Problem Solving</x:t>
        </x:is>
      </x:c>
      <x:c r="B11" s="11" t="inlineStr">
        <x:is>
          <x:t xml:space="preserve">Sprring 2025</x:t>
        </x:is>
      </x:c>
      <x:c r="C11" s="11" t="n">
        <x:v>3</x:v>
      </x:c>
      <x:c r="D11" s="11" t="n">
        <x:v>0</x:v>
      </x:c>
      <x:c r="E11" s="11" t="n">
        <x:v>0</x:v>
      </x:c>
      <x:c r="F11" s="11" t="n">
        <x:v>1</x:v>
      </x:c>
      <x:c r="G11" s="11" t="n">
        <x:v>0</x:v>
      </x:c>
      <x:c r="H11" s="11" t="n">
        <x:v>0</x:v>
      </x:c>
      <x:c r="I11" s="11" t="n">
        <x:v>3</x:v>
      </x:c>
      <x:c r="J11" s="11" t="n">
        <x:v>0</x:v>
      </x:c>
      <x:c r="K11" s="11" t="n">
        <x:v>0</x:v>
      </x:c>
      <x:c r="L11" s="11" t="n">
        <x:v>1</x:v>
      </x:c>
      <x:c r="M11" s="11" t="n">
        <x:v>0</x:v>
      </x:c>
      <x:c r="N11" s="11" t="n">
        <x:v>1</x:v>
      </x:c>
      <x:c r="O11" s="11" t="n">
        <x:v>1</x:v>
      </x:c>
    </x:row>
    <x:row r="12">
      <x:c r="A12" s="11" t="inlineStr">
        <x:is>
          <x:t xml:space="preserve">CPT 1301  Logic and Problem Solving</x:t>
        </x:is>
      </x:c>
      <x:c r="B12" s="11" t="inlineStr">
        <x:is>
          <x:t xml:space="preserve">Sprring 2024</x:t>
        </x:is>
      </x:c>
      <x:c r="C12" s="11" t="n">
        <x:v>8</x:v>
      </x:c>
      <x:c r="D12" s="11" t="n">
        <x:v>0</x:v>
      </x:c>
      <x:c r="E12" s="11" t="n">
        <x:v>1</x:v>
      </x:c>
      <x:c r="F12" s="11" t="n">
        <x:v>2</x:v>
      </x:c>
      <x:c r="G12" s="11" t="n">
        <x:v>0</x:v>
      </x:c>
      <x:c r="H12" s="11" t="n">
        <x:v>1</x:v>
      </x:c>
      <x:c r="I12" s="11" t="n">
        <x:v>0</x:v>
      </x:c>
      <x:c r="J12" s="11" t="n">
        <x:v>1</x:v>
      </x:c>
      <x:c r="K12" s="11" t="n">
        <x:v>0</x:v>
      </x:c>
      <x:c r="L12" s="11" t="n">
        <x:v>0</x:v>
      </x:c>
      <x:c r="M12" s="11" t="n">
        <x:v>1</x:v>
      </x:c>
      <x:c r="N12" s="11" t="n">
        <x:v>6</x:v>
      </x:c>
      <x:c r="O12" s="11" t="n">
        <x:v>0</x:v>
      </x:c>
    </x:row>
    <x:row r="13">
      <x:c r="A13" s="11" t="inlineStr">
        <x:is>
          <x:t xml:space="preserve">CPT 1307 Scripting</x:t>
        </x:is>
      </x:c>
      <x:c r="B13" s="11" t="inlineStr">
        <x:is>
          <x:t xml:space="preserve">Fall 2022</x:t>
        </x:is>
      </x:c>
      <x:c r="C13" s="11" t="n">
        <x:v>10</x:v>
      </x:c>
      <x:c r="D13" s="11" t="n">
        <x:v>0</x:v>
      </x:c>
      <x:c r="E13" s="11" t="n">
        <x:v>0</x:v>
      </x:c>
      <x:c r="F13" s="11" t="n">
        <x:v>1</x:v>
      </x:c>
      <x:c r="G13" s="11" t="n">
        <x:v>1</x:v>
      </x:c>
      <x:c r="H13" s="11" t="n">
        <x:v>0</x:v>
      </x:c>
      <x:c r="I13" s="11" t="n">
        <x:v>0</x:v>
      </x:c>
      <x:c r="J13" s="11" t="n">
        <x:v>0</x:v>
      </x:c>
      <x:c r="K13" s="11" t="n">
        <x:v>0</x:v>
      </x:c>
      <x:c r="L13" s="11" t="n">
        <x:v>1</x:v>
      </x:c>
      <x:c r="M13" s="11" t="n">
        <x:v>1</x:v>
      </x:c>
      <x:c r="N13" s="11" t="n">
        <x:v>11</x:v>
      </x:c>
      <x:c r="O13" s="11" t="n">
        <x:v>3</x:v>
      </x:c>
    </x:row>
    <x:row r="14">
      <x:c r="A14" s="11" t="inlineStr">
        <x:is>
          <x:t xml:space="preserve">CPT 1307 Scripting</x:t>
        </x:is>
      </x:c>
      <x:c r="B14" s="11" t="inlineStr">
        <x:is>
          <x:t xml:space="preserve">Fall 2023</x:t>
        </x:is>
      </x:c>
      <x:c r="C14" s="11" t="n">
        <x:v>0</x:v>
      </x:c>
      <x:c r="D14" s="11" t="n">
        <x:v>0</x:v>
      </x:c>
      <x:c r="E14" s="11" t="n">
        <x:v>2</x:v>
      </x:c>
      <x:c r="F14" s="11" t="n">
        <x:v>2</x:v>
      </x:c>
      <x:c r="G14" s="11" t="n">
        <x:v>2</x:v>
      </x:c>
      <x:c r="H14" s="11" t="n">
        <x:v>0</x:v>
      </x:c>
      <x:c r="I14" s="11" t="n">
        <x:v>1</x:v>
      </x:c>
      <x:c r="J14" s="11" t="n">
        <x:v>0</x:v>
      </x:c>
      <x:c r="K14" s="11" t="n">
        <x:v>0</x:v>
      </x:c>
      <x:c r="L14" s="11" t="n">
        <x:v>1</x:v>
      </x:c>
      <x:c r="M14" s="11" t="n">
        <x:v>1</x:v>
      </x:c>
      <x:c r="N14" s="11" t="n">
        <x:v>4</x:v>
      </x:c>
      <x:c r="O14" s="11" t="n">
        <x:v>1</x:v>
      </x:c>
    </x:row>
    <x:row r="15">
      <x:c r="A15" s="11" t="inlineStr">
        <x:is>
          <x:t xml:space="preserve">CPT 1307 Scripting</x:t>
        </x:is>
      </x:c>
      <x:c r="B15" s="11" t="inlineStr">
        <x:is>
          <x:t xml:space="preserve">Fall 2024</x:t>
        </x:is>
      </x:c>
      <x:c r="C15" s="11" t="n">
        <x:v>6</x:v>
      </x:c>
      <x:c r="D15" s="11" t="n">
        <x:v>0</x:v>
      </x:c>
      <x:c r="E15" s="11" t="n">
        <x:v>0</x:v>
      </x:c>
      <x:c r="F15" s="11" t="n">
        <x:v>4</x:v>
      </x:c>
      <x:c r="G15" s="11" t="n">
        <x:v>0</x:v>
      </x:c>
      <x:c r="H15" s="11" t="n">
        <x:v>0</x:v>
      </x:c>
      <x:c r="I15" s="11" t="n">
        <x:v>2</x:v>
      </x:c>
      <x:c r="J15" s="11" t="n">
        <x:v>0</x:v>
      </x:c>
      <x:c r="K15" s="11" t="n">
        <x:v>0</x:v>
      </x:c>
      <x:c r="L15" s="11" t="n">
        <x:v>1</x:v>
      </x:c>
      <x:c r="M15" s="11" t="n">
        <x:v>0</x:v>
      </x:c>
      <x:c r="N15" s="11" t="n">
        <x:v>2</x:v>
      </x:c>
      <x:c r="O15" s="11" t="n">
        <x:v>0</x:v>
      </x:c>
    </x:row>
    <x:row r="16">
      <x:c r="A16" s="11" t="inlineStr">
        <x:is>
          <x:t xml:space="preserve">CPT 1318 Web Design</x:t>
        </x:is>
      </x:c>
      <x:c r="B16" s="11" t="inlineStr">
        <x:is>
          <x:t xml:space="preserve">Fall 2024</x:t>
        </x:is>
      </x:c>
      <x:c r="C16" s="11" t="n">
        <x:v>6</x:v>
      </x:c>
      <x:c r="D16" s="11" t="n">
        <x:v>0</x:v>
      </x:c>
      <x:c r="E16" s="11" t="n">
        <x:v>0</x:v>
      </x:c>
      <x:c r="F16" s="11" t="n">
        <x:v>2</x:v>
      </x:c>
      <x:c r="G16" s="11" t="n">
        <x:v>0</x:v>
      </x:c>
      <x:c r="H16" s="11" t="n">
        <x:v>0</x:v>
      </x:c>
      <x:c r="I16" s="11" t="n">
        <x:v>0</x:v>
      </x:c>
      <x:c r="J16" s="11" t="n">
        <x:v>0</x:v>
      </x:c>
      <x:c r="K16" s="11" t="n">
        <x:v>0</x:v>
      </x:c>
      <x:c r="L16" s="11" t="n">
        <x:v>0</x:v>
      </x:c>
      <x:c r="M16" s="11" t="n">
        <x:v>0</x:v>
      </x:c>
      <x:c r="N16" s="11" t="n">
        <x:v>7</x:v>
      </x:c>
      <x:c r="O16" s="11" t="n">
        <x:v>0</x:v>
      </x:c>
    </x:row>
    <x:row r="17">
      <x:c r="A17" s="11" t="inlineStr">
        <x:is>
          <x:t xml:space="preserve">CPT 1408 Web Design and Development</x:t>
        </x:is>
      </x:c>
      <x:c r="B17" s="11" t="inlineStr">
        <x:is>
          <x:t xml:space="preserve">Fall 2023</x:t>
        </x:is>
      </x:c>
      <x:c r="C17" s="11" t="n">
        <x:v>5</x:v>
      </x:c>
      <x:c r="D17" s="11" t="n">
        <x:v>0</x:v>
      </x:c>
      <x:c r="E17" s="11" t="n">
        <x:v>0</x:v>
      </x:c>
      <x:c r="F17" s="11" t="n">
        <x:v>0</x:v>
      </x:c>
      <x:c r="G17" s="11" t="n">
        <x:v>0</x:v>
      </x:c>
      <x:c r="H17" s="11" t="n">
        <x:v>0</x:v>
      </x:c>
      <x:c r="I17" s="11" t="n">
        <x:v>0</x:v>
      </x:c>
      <x:c r="J17" s="11" t="n">
        <x:v>2</x:v>
      </x:c>
      <x:c r="K17" s="11" t="n">
        <x:v>0</x:v>
      </x:c>
      <x:c r="L17" s="11" t="n">
        <x:v>0</x:v>
      </x:c>
      <x:c r="M17" s="11" t="n">
        <x:v>0</x:v>
      </x:c>
      <x:c r="N17" s="11" t="n">
        <x:v>1</x:v>
      </x:c>
      <x:c r="O17" s="11" t="n">
        <x:v>0</x:v>
      </x:c>
    </x:row>
    <x:row r="18">
      <x:c r="A18" s="11" t="inlineStr">
        <x:is>
          <x:t xml:space="preserve">CPT 2040 Mobile Application Programming</x:t>
        </x:is>
      </x:c>
      <x:c r="B18" s="11" t="inlineStr">
        <x:is>
          <x:t xml:space="preserve">Sprring 2022</x:t>
        </x:is>
      </x:c>
      <x:c r="C18" s="11" t="n">
        <x:v>1</x:v>
      </x:c>
      <x:c r="D18" s="11" t="n">
        <x:v>0</x:v>
      </x:c>
      <x:c r="E18" s="11" t="n">
        <x:v>0</x:v>
      </x:c>
      <x:c r="F18" s="11" t="n">
        <x:v>0</x:v>
      </x:c>
      <x:c r="G18" s="11" t="n">
        <x:v>0</x:v>
      </x:c>
      <x:c r="H18" s="11" t="n">
        <x:v>0</x:v>
      </x:c>
      <x:c r="I18" s="11" t="n">
        <x:v>0</x:v>
      </x:c>
      <x:c r="J18" s="11" t="n">
        <x:v>0</x:v>
      </x:c>
      <x:c r="K18" s="11" t="n">
        <x:v>0</x:v>
      </x:c>
      <x:c r="L18" s="11" t="n">
        <x:v>0</x:v>
      </x:c>
      <x:c r="M18" s="11" t="n">
        <x:v>0</x:v>
      </x:c>
      <x:c r="N18" s="11" t="n">
        <x:v>0</x:v>
      </x:c>
      <x:c r="O18" s="11" t="n">
        <x:v>0</x:v>
      </x:c>
    </x:row>
    <x:row r="19">
      <x:c r="A19" s="11" t="inlineStr">
        <x:is>
          <x:t xml:space="preserve">CPT 2040 Mobile Application Programming</x:t>
        </x:is>
      </x:c>
      <x:c r="B19" s="11" t="inlineStr">
        <x:is>
          <x:t xml:space="preserve">Sprring 2023</x:t>
        </x:is>
      </x:c>
      <x:c r="C19" s="11" t="n">
        <x:v>3</x:v>
      </x:c>
      <x:c r="D19" s="11" t="n">
        <x:v>1</x:v>
      </x:c>
      <x:c r="E19" s="11" t="n">
        <x:v>0</x:v>
      </x:c>
      <x:c r="F19" s="11" t="n">
        <x:v>0</x:v>
      </x:c>
      <x:c r="G19" s="11" t="n">
        <x:v>0</x:v>
      </x:c>
      <x:c r="H19" s="11" t="n">
        <x:v>1</x:v>
      </x:c>
      <x:c r="I19" s="11" t="n">
        <x:v>0</x:v>
      </x:c>
      <x:c r="J19" s="11" t="n">
        <x:v>0</x:v>
      </x:c>
      <x:c r="K19" s="11" t="n">
        <x:v>0</x:v>
      </x:c>
      <x:c r="L19" s="11" t="n">
        <x:v>1</x:v>
      </x:c>
      <x:c r="M19" s="11" t="n">
        <x:v>0</x:v>
      </x:c>
      <x:c r="N19" s="11" t="n">
        <x:v>1</x:v>
      </x:c>
      <x:c r="O19" s="11" t="n">
        <x:v>0</x:v>
      </x:c>
    </x:row>
    <x:row r="20">
      <x:c r="A20" s="11" t="inlineStr">
        <x:is>
          <x:t xml:space="preserve">CPT 2170 Linux</x:t>
        </x:is>
      </x:c>
      <x:c r="B20" s="11" t="inlineStr">
        <x:is>
          <x:t xml:space="preserve">Fall 2022</x:t>
        </x:is>
      </x:c>
      <x:c r="C20" s="11" t="n">
        <x:v>3</x:v>
      </x:c>
      <x:c r="D20" s="11" t="n">
        <x:v>0</x:v>
      </x:c>
      <x:c r="E20" s="11" t="n">
        <x:v>0</x:v>
      </x:c>
      <x:c r="F20" s="11" t="n">
        <x:v>0</x:v>
      </x:c>
      <x:c r="G20" s="11" t="n">
        <x:v>0</x:v>
      </x:c>
      <x:c r="H20" s="11" t="n">
        <x:v>0</x:v>
      </x:c>
      <x:c r="I20" s="11" t="n">
        <x:v>1</x:v>
      </x:c>
      <x:c r="J20" s="11" t="n">
        <x:v>0</x:v>
      </x:c>
      <x:c r="K20" s="11" t="n">
        <x:v>0</x:v>
      </x:c>
      <x:c r="L20" s="11" t="n">
        <x:v>0</x:v>
      </x:c>
      <x:c r="M20" s="11" t="n">
        <x:v>0</x:v>
      </x:c>
      <x:c r="N20" s="11" t="n">
        <x:v>0</x:v>
      </x:c>
      <x:c r="O20" s="11" t="n">
        <x:v>0</x:v>
      </x:c>
    </x:row>
    <x:row r="21">
      <x:c r="A21" s="11" t="inlineStr">
        <x:is>
          <x:t xml:space="preserve">CPT 2170 Linux</x:t>
        </x:is>
      </x:c>
      <x:c r="B21" s="11" t="inlineStr">
        <x:is>
          <x:t xml:space="preserve">Sprring 2025</x:t>
        </x:is>
      </x:c>
      <x:c r="C21" s="11" t="n">
        <x:v>4</x:v>
      </x:c>
      <x:c r="D21" s="11" t="n">
        <x:v>0</x:v>
      </x:c>
      <x:c r="E21" s="11" t="n">
        <x:v>0</x:v>
      </x:c>
      <x:c r="F21" s="11" t="n">
        <x:v>1</x:v>
      </x:c>
      <x:c r="G21" s="11" t="n">
        <x:v>0</x:v>
      </x:c>
      <x:c r="H21" s="11" t="n">
        <x:v>0</x:v>
      </x:c>
      <x:c r="I21" s="11" t="n">
        <x:v>0</x:v>
      </x:c>
      <x:c r="J21" s="11" t="n">
        <x:v>0</x:v>
      </x:c>
      <x:c r="K21" s="11" t="n">
        <x:v>0</x:v>
      </x:c>
      <x:c r="L21" s="11" t="n">
        <x:v>0</x:v>
      </x:c>
      <x:c r="M21" s="11" t="n">
        <x:v>0</x:v>
      </x:c>
      <x:c r="N21" s="11" t="n">
        <x:v>0</x:v>
      </x:c>
      <x:c r="O21" s="11" t="n">
        <x:v>1</x:v>
      </x:c>
    </x:row>
    <x:row r="22">
      <x:c r="A22" s="11" t="inlineStr">
        <x:is>
          <x:t xml:space="preserve">CPT 2170 Linux</x:t>
        </x:is>
      </x:c>
      <x:c r="B22" s="11" t="inlineStr">
        <x:is>
          <x:t xml:space="preserve">Fall 2023</x:t>
        </x:is>
      </x:c>
      <x:c r="C22" s="11" t="n">
        <x:v>3</x:v>
      </x:c>
      <x:c r="D22" s="11" t="n">
        <x:v>0</x:v>
      </x:c>
      <x:c r="E22" s="11" t="n">
        <x:v>0</x:v>
      </x:c>
      <x:c r="F22" s="11" t="n">
        <x:v>0</x:v>
      </x:c>
      <x:c r="G22" s="11" t="n">
        <x:v>0</x:v>
      </x:c>
      <x:c r="H22" s="11" t="n">
        <x:v>0</x:v>
      </x:c>
      <x:c r="I22" s="11" t="n">
        <x:v>0</x:v>
      </x:c>
      <x:c r="J22" s="11" t="n">
        <x:v>1</x:v>
      </x:c>
      <x:c r="K22" s="11" t="n">
        <x:v>0</x:v>
      </x:c>
      <x:c r="L22" s="11" t="n">
        <x:v>1</x:v>
      </x:c>
      <x:c r="M22" s="11" t="n">
        <x:v>0</x:v>
      </x:c>
      <x:c r="N22" s="11" t="n">
        <x:v>1</x:v>
      </x:c>
      <x:c r="O22" s="11" t="n">
        <x:v>0</x:v>
      </x:c>
    </x:row>
    <x:row r="23">
      <x:c r="A23" s="11" t="inlineStr">
        <x:is>
          <x:t xml:space="preserve">CPT 2211 Database Management</x:t>
        </x:is>
      </x:c>
      <x:c r="B23" s="11" t="inlineStr">
        <x:is>
          <x:t xml:space="preserve">Fall 2023</x:t>
        </x:is>
      </x:c>
      <x:c r="C23" s="11" t="n">
        <x:v>2</x:v>
      </x:c>
      <x:c r="D23" s="11" t="n">
        <x:v>0</x:v>
      </x:c>
      <x:c r="E23" s="11" t="n">
        <x:v>0</x:v>
      </x:c>
      <x:c r="F23" s="11" t="n">
        <x:v>0</x:v>
      </x:c>
      <x:c r="G23" s="11" t="n">
        <x:v>0</x:v>
      </x:c>
      <x:c r="H23" s="11" t="n">
        <x:v>1</x:v>
      </x:c>
      <x:c r="I23" s="11" t="n">
        <x:v>0</x:v>
      </x:c>
      <x:c r="J23" s="11" t="n">
        <x:v>0</x:v>
      </x:c>
      <x:c r="K23" s="11" t="n">
        <x:v>0</x:v>
      </x:c>
      <x:c r="L23" s="11" t="n">
        <x:v>1</x:v>
      </x:c>
      <x:c r="M23" s="11" t="n">
        <x:v>0</x:v>
      </x:c>
      <x:c r="N23" s="11" t="n">
        <x:v>1</x:v>
      </x:c>
      <x:c r="O23" s="11" t="n">
        <x:v>0</x:v>
      </x:c>
    </x:row>
    <x:row r="24">
      <x:c r="A24" s="11" t="inlineStr">
        <x:is>
          <x:t xml:space="preserve">CPT 2211 Database Management</x:t>
        </x:is>
      </x:c>
      <x:c r="B24" s="11" t="inlineStr">
        <x:is>
          <x:t xml:space="preserve">Fall 2024</x:t>
        </x:is>
      </x:c>
      <x:c r="C24" s="11" t="n">
        <x:v>3</x:v>
      </x:c>
      <x:c r="D24" s="11" t="n">
        <x:v>0</x:v>
      </x:c>
      <x:c r="E24" s="11" t="n">
        <x:v>0</x:v>
      </x:c>
      <x:c r="F24" s="11" t="n">
        <x:v>4</x:v>
      </x:c>
      <x:c r="G24" s="11" t="n">
        <x:v>0</x:v>
      </x:c>
      <x:c r="H24" s="11" t="n">
        <x:v>0</x:v>
      </x:c>
      <x:c r="I24" s="11" t="n">
        <x:v>0</x:v>
      </x:c>
      <x:c r="J24" s="11" t="n">
        <x:v>0</x:v>
      </x:c>
      <x:c r="K24" s="11" t="n">
        <x:v>0</x:v>
      </x:c>
      <x:c r="L24" s="11" t="n">
        <x:v>1</x:v>
      </x:c>
      <x:c r="M24" s="11" t="n">
        <x:v>0</x:v>
      </x:c>
      <x:c r="N24" s="11" t="n">
        <x:v>2</x:v>
      </x:c>
      <x:c r="O24" s="11" t="n">
        <x:v>0</x:v>
      </x:c>
    </x:row>
    <x:row r="25">
      <x:c r="A25" s="11" t="inlineStr">
        <x:is>
          <x:t xml:space="preserve">CPT 2211 Database Management</x:t>
        </x:is>
      </x:c>
      <x:c r="B25" s="11" t="inlineStr">
        <x:is>
          <x:t xml:space="preserve">Fall 2021</x:t>
        </x:is>
      </x:c>
      <x:c r="C25" s="11" t="n">
        <x:v>3</x:v>
      </x:c>
      <x:c r="D25" s="11" t="n">
        <x:v>0</x:v>
      </x:c>
      <x:c r="E25" s="11" t="n">
        <x:v>0</x:v>
      </x:c>
      <x:c r="F25" s="11" t="n">
        <x:v>0</x:v>
      </x:c>
      <x:c r="G25" s="11" t="n">
        <x:v>0</x:v>
      </x:c>
      <x:c r="H25" s="11" t="n">
        <x:v>0</x:v>
      </x:c>
      <x:c r="I25" s="11" t="n">
        <x:v>0</x:v>
      </x:c>
      <x:c r="J25" s="11" t="n">
        <x:v>0</x:v>
      </x:c>
      <x:c r="K25" s="11" t="n">
        <x:v>1</x:v>
      </x:c>
      <x:c r="L25" s="11" t="n">
        <x:v>0</x:v>
      </x:c>
      <x:c r="M25" s="11" t="n">
        <x:v>1</x:v>
      </x:c>
      <x:c r="N25" s="11" t="n">
        <x:v>0</x:v>
      </x:c>
      <x:c r="O25" s="11" t="n">
        <x:v>1</x:v>
      </x:c>
    </x:row>
    <x:row r="26">
      <x:c r="A26" s="11" t="inlineStr">
        <x:is>
          <x:t xml:space="preserve">CPT 2216 C++ and Object Oriented Programming</x:t>
        </x:is>
      </x:c>
      <x:c r="B26" s="11" t="inlineStr">
        <x:is>
          <x:t xml:space="preserve">Fall 2021</x:t>
        </x:is>
      </x:c>
      <x:c r="C26" s="11" t="n">
        <x:v>2</x:v>
      </x:c>
      <x:c r="D26" s="11" t="n">
        <x:v>0</x:v>
      </x:c>
      <x:c r="E26" s="11" t="n">
        <x:v>0</x:v>
      </x:c>
      <x:c r="F26" s="11" t="n">
        <x:v>0</x:v>
      </x:c>
      <x:c r="G26" s="11" t="n">
        <x:v>0</x:v>
      </x:c>
      <x:c r="H26" s="11" t="n">
        <x:v>0</x:v>
      </x:c>
      <x:c r="I26" s="11" t="n">
        <x:v>0</x:v>
      </x:c>
      <x:c r="J26" s="11" t="n">
        <x:v>0</x:v>
      </x:c>
      <x:c r="K26" s="11" t="n">
        <x:v>0</x:v>
      </x:c>
      <x:c r="L26" s="11" t="n">
        <x:v>0</x:v>
      </x:c>
      <x:c r="M26" s="11" t="n">
        <x:v>0</x:v>
      </x:c>
      <x:c r="N26" s="11" t="n">
        <x:v>0</x:v>
      </x:c>
      <x:c r="O26" s="11" t="n">
        <x:v>1</x:v>
      </x:c>
    </x:row>
    <x:row r="27">
      <x:c r="A27" s="11" t="inlineStr">
        <x:is>
          <x:t xml:space="preserve">CPT 2220 Projects</x:t>
        </x:is>
      </x:c>
      <x:c r="B27" s="11" t="inlineStr">
        <x:is>
          <x:t xml:space="preserve">Sprring 2023</x:t>
        </x:is>
      </x:c>
      <x:c r="C27" s="11" t="n">
        <x:v>2</x:v>
      </x:c>
      <x:c r="D27" s="11" t="n">
        <x:v>1</x:v>
      </x:c>
      <x:c r="E27" s="11" t="n">
        <x:v>0</x:v>
      </x:c>
      <x:c r="F27" s="11" t="n">
        <x:v>1</x:v>
      </x:c>
      <x:c r="G27" s="11" t="n">
        <x:v>1</x:v>
      </x:c>
      <x:c r="H27" s="11" t="n">
        <x:v>1</x:v>
      </x:c>
      <x:c r="I27" s="11" t="n">
        <x:v>0</x:v>
      </x:c>
      <x:c r="J27" s="11" t="n">
        <x:v>0</x:v>
      </x:c>
      <x:c r="K27" s="11" t="n">
        <x:v>0</x:v>
      </x:c>
      <x:c r="L27" s="11" t="n">
        <x:v>1</x:v>
      </x:c>
      <x:c r="M27" s="11" t="n">
        <x:v>0</x:v>
      </x:c>
      <x:c r="N27" s="11" t="n">
        <x:v>1</x:v>
      </x:c>
      <x:c r="O27" s="11" t="n">
        <x:v>0</x:v>
      </x:c>
    </x:row>
    <x:row r="28">
      <x:c r="A28" s="11" t="inlineStr">
        <x:is>
          <x:t xml:space="preserve">CPT 2220 Projects</x:t>
        </x:is>
      </x:c>
      <x:c r="B28" s="11" t="inlineStr">
        <x:is>
          <x:t xml:space="preserve">Sprring 2024</x:t>
        </x:is>
      </x:c>
      <x:c r="C28" s="11" t="n">
        <x:v>2</x:v>
      </x:c>
      <x:c r="D28" s="11" t="n">
        <x:v>0</x:v>
      </x:c>
      <x:c r="E28" s="11" t="n">
        <x:v>0</x:v>
      </x:c>
      <x:c r="F28" s="11" t="n">
        <x:v>1</x:v>
      </x:c>
      <x:c r="G28" s="11" t="n">
        <x:v>0</x:v>
      </x:c>
      <x:c r="H28" s="11" t="n">
        <x:v>0</x:v>
      </x:c>
      <x:c r="I28" s="11" t="n">
        <x:v>1</x:v>
      </x:c>
      <x:c r="J28" s="11" t="n">
        <x:v>0</x:v>
      </x:c>
      <x:c r="K28" s="11" t="n">
        <x:v>0</x:v>
      </x:c>
      <x:c r="L28" s="11" t="n">
        <x:v>0</x:v>
      </x:c>
      <x:c r="M28" s="11" t="n">
        <x:v>0</x:v>
      </x:c>
      <x:c r="N28" s="11" t="n">
        <x:v>1</x:v>
      </x:c>
      <x:c r="O28" s="11" t="n">
        <x:v>0</x:v>
      </x:c>
    </x:row>
    <x:row r="29">
      <x:c r="A29" s="11" t="inlineStr">
        <x:is>
          <x:t xml:space="preserve">CPT 2220 Projects</x:t>
        </x:is>
      </x:c>
      <x:c r="B29" s="11" t="inlineStr">
        <x:is>
          <x:t xml:space="preserve">Sprring 2025</x:t>
        </x:is>
      </x:c>
      <x:c r="C29" s="11" t="n">
        <x:v>2</x:v>
      </x:c>
      <x:c r="D29" s="11" t="n">
        <x:v>0</x:v>
      </x:c>
      <x:c r="E29" s="11" t="n">
        <x:v>0</x:v>
      </x:c>
      <x:c r="F29" s="11" t="n">
        <x:v>0</x:v>
      </x:c>
      <x:c r="G29" s="11" t="n">
        <x:v>0</x:v>
      </x:c>
      <x:c r="H29" s="11" t="n">
        <x:v>0</x:v>
      </x:c>
      <x:c r="I29" s="11" t="n">
        <x:v>0</x:v>
      </x:c>
      <x:c r="J29" s="11" t="n">
        <x:v>0</x:v>
      </x:c>
      <x:c r="K29" s="11" t="n">
        <x:v>0</x:v>
      </x:c>
      <x:c r="L29" s="11" t="n">
        <x:v>1</x:v>
      </x:c>
      <x:c r="M29" s="11" t="n">
        <x:v>0</x:v>
      </x:c>
      <x:c r="N29" s="11" t="n">
        <x:v>0</x:v>
      </x:c>
      <x:c r="O29" s="11" t="n">
        <x:v>0</x:v>
      </x:c>
    </x:row>
    <x:row r="30">
      <x:c r="A30" s="11" t="inlineStr">
        <x:is>
          <x:t xml:space="preserve">CPT 2226 Object Oriented Programming</x:t>
        </x:is>
      </x:c>
      <x:c r="B30" s="11" t="inlineStr">
        <x:is>
          <x:t xml:space="preserve">Fall 2022</x:t>
        </x:is>
      </x:c>
      <x:c r="C30" s="11" t="n">
        <x:v>5</x:v>
      </x:c>
      <x:c r="D30" s="11" t="n">
        <x:v>0</x:v>
      </x:c>
      <x:c r="E30" s="11" t="n">
        <x:v>1</x:v>
      </x:c>
      <x:c r="F30" s="11" t="n">
        <x:v>0</x:v>
      </x:c>
      <x:c r="G30" s="11" t="n">
        <x:v>0</x:v>
      </x:c>
      <x:c r="H30" s="11" t="n">
        <x:v>0</x:v>
      </x:c>
      <x:c r="I30" s="11" t="n">
        <x:v>0</x:v>
      </x:c>
      <x:c r="J30" s="11" t="n">
        <x:v>0</x:v>
      </x:c>
      <x:c r="K30" s="11" t="n">
        <x:v>1</x:v>
      </x:c>
      <x:c r="L30" s="11" t="n">
        <x:v>0</x:v>
      </x:c>
      <x:c r="M30" s="11" t="n">
        <x:v>0</x:v>
      </x:c>
      <x:c r="N30" s="11" t="n">
        <x:v>0</x:v>
      </x:c>
      <x:c r="O30" s="11" t="n">
        <x:v>0</x:v>
      </x:c>
    </x:row>
    <x:row r="31">
      <x:c r="A31" s="11" t="inlineStr">
        <x:is>
          <x:t xml:space="preserve">CPT 2226 Object Oriented Programming</x:t>
        </x:is>
      </x:c>
      <x:c r="B31" s="11" t="inlineStr">
        <x:is>
          <x:t xml:space="preserve">Fall 2024</x:t>
        </x:is>
      </x:c>
      <x:c r="C31" s="11" t="n">
        <x:v>5</x:v>
      </x:c>
      <x:c r="D31" s="11" t="n">
        <x:v>0</x:v>
      </x:c>
      <x:c r="E31" s="11" t="n">
        <x:v>0</x:v>
      </x:c>
      <x:c r="F31" s="11" t="n">
        <x:v>1</x:v>
      </x:c>
      <x:c r="G31" s="11" t="n">
        <x:v>0</x:v>
      </x:c>
      <x:c r="H31" s="11" t="n">
        <x:v>0</x:v>
      </x:c>
      <x:c r="I31" s="11" t="n">
        <x:v>0</x:v>
      </x:c>
      <x:c r="J31" s="11" t="n">
        <x:v>0</x:v>
      </x:c>
      <x:c r="K31" s="11" t="n">
        <x:v>0</x:v>
      </x:c>
      <x:c r="L31" s="11" t="n">
        <x:v>0</x:v>
      </x:c>
      <x:c r="M31" s="11" t="n">
        <x:v>0</x:v>
      </x:c>
      <x:c r="N31" s="11" t="n">
        <x:v>1</x:v>
      </x:c>
      <x:c r="O31" s="11" t="n">
        <x:v>0</x:v>
      </x:c>
    </x:row>
    <x:row r="32">
      <x:c r="A32" s="11" t="inlineStr">
        <x:is>
          <x:t xml:space="preserve">CPT 2226 Object Oriented Programming</x:t>
        </x:is>
      </x:c>
      <x:c r="B32" s="11" t="inlineStr">
        <x:is>
          <x:t xml:space="preserve">Fall 2023</x:t>
        </x:is>
      </x:c>
      <x:c r="C32" s="11" t="n">
        <x:v>2</x:v>
      </x:c>
      <x:c r="D32" s="11" t="n">
        <x:v>0</x:v>
      </x:c>
      <x:c r="E32" s="11" t="n">
        <x:v>0</x:v>
      </x:c>
      <x:c r="F32" s="11" t="n">
        <x:v>0</x:v>
      </x:c>
      <x:c r="G32" s="11" t="n">
        <x:v>0</x:v>
      </x:c>
      <x:c r="H32" s="11" t="n">
        <x:v>0</x:v>
      </x:c>
      <x:c r="I32" s="11" t="n">
        <x:v>1</x:v>
      </x:c>
      <x:c r="J32" s="11" t="n">
        <x:v>0</x:v>
      </x:c>
      <x:c r="K32" s="11" t="n">
        <x:v>0</x:v>
      </x:c>
      <x:c r="L32" s="11" t="n">
        <x:v>0</x:v>
      </x:c>
      <x:c r="M32" s="11" t="n">
        <x:v>0</x:v>
      </x:c>
      <x:c r="N32" s="11" t="n">
        <x:v>1</x:v>
      </x:c>
      <x:c r="O32" s="11" t="n">
        <x:v>0</x:v>
      </x:c>
    </x:row>
    <x:row r="33">
      <x:c r="A33" s="11" t="inlineStr">
        <x:is>
          <x:t xml:space="preserve">CPT 2250 Cybersecurity</x:t>
        </x:is>
      </x:c>
      <x:c r="B33" s="11" t="inlineStr">
        <x:is>
          <x:t xml:space="preserve">Sprring 2025</x:t>
        </x:is>
      </x:c>
      <x:c r="C33" s="11" t="n">
        <x:v>5</x:v>
      </x:c>
      <x:c r="D33" s="11" t="n">
        <x:v>0</x:v>
      </x:c>
      <x:c r="E33" s="11" t="n">
        <x:v>0</x:v>
      </x:c>
      <x:c r="F33" s="11" t="n">
        <x:v>1</x:v>
      </x:c>
      <x:c r="G33" s="11" t="n">
        <x:v>0</x:v>
      </x:c>
      <x:c r="H33" s="11" t="n">
        <x:v>0</x:v>
      </x:c>
      <x:c r="I33" s="11" t="n">
        <x:v>0</x:v>
      </x:c>
      <x:c r="J33" s="11" t="n">
        <x:v>0</x:v>
      </x:c>
      <x:c r="K33" s="11" t="n">
        <x:v>0</x:v>
      </x:c>
      <x:c r="L33" s="11" t="n">
        <x:v>0</x:v>
      </x:c>
      <x:c r="M33" s="11" t="n">
        <x:v>0</x:v>
      </x:c>
      <x:c r="N33" s="11" t="n">
        <x:v>1</x:v>
      </x:c>
      <x:c r="O33" s="11" t="n">
        <x:v>1</x:v>
      </x:c>
    </x:row>
    <x:row r="34">
      <x:c r="A34" s="11" t="inlineStr">
        <x:is>
          <x:t xml:space="preserve">CPT 2607 Data Structures</x:t>
        </x:is>
      </x:c>
      <x:c r="B34" s="11" t="inlineStr">
        <x:is>
          <x:t xml:space="preserve">Sprring 2023</x:t>
        </x:is>
      </x:c>
      <x:c r="C34" s="11" t="n">
        <x:v>2</x:v>
      </x:c>
      <x:c r="D34" s="11" t="n">
        <x:v>0</x:v>
      </x:c>
      <x:c r="E34" s="11" t="n">
        <x:v>0</x:v>
      </x:c>
      <x:c r="F34" s="11" t="n">
        <x:v>3</x:v>
      </x:c>
      <x:c r="G34" s="11" t="n">
        <x:v>0</x:v>
      </x:c>
      <x:c r="H34" s="11" t="n">
        <x:v>0</x:v>
      </x:c>
      <x:c r="I34" s="11" t="n">
        <x:v>0</x:v>
      </x:c>
      <x:c r="J34" s="11" t="n">
        <x:v>0</x:v>
      </x:c>
      <x:c r="K34" s="11" t="n">
        <x:v>0</x:v>
      </x:c>
      <x:c r="L34" s="11" t="n">
        <x:v>0</x:v>
      </x:c>
      <x:c r="M34" s="11" t="n">
        <x:v>0</x:v>
      </x:c>
      <x:c r="N34" s="11" t="n">
        <x:v>1</x:v>
      </x:c>
      <x:c r="O34" s="11" t="n">
        <x:v>0</x:v>
      </x:c>
    </x:row>
    <x:row r="35">
      <x:c r="A35" s="11" t="inlineStr">
        <x:is>
          <x:t xml:space="preserve">CPT 2607 Data Structures</x:t>
        </x:is>
      </x:c>
      <x:c r="B35" s="11" t="inlineStr">
        <x:is>
          <x:t xml:space="preserve">Sprring 2024</x:t>
        </x:is>
      </x:c>
      <x:c r="C35" s="11" t="n">
        <x:v>1</x:v>
      </x:c>
      <x:c r="D35" s="11" t="n">
        <x:v>0</x:v>
      </x:c>
      <x:c r="E35" s="11" t="n">
        <x:v>1</x:v>
      </x:c>
      <x:c r="F35" s="11" t="n">
        <x:v>1</x:v>
      </x:c>
      <x:c r="G35" s="11" t="n">
        <x:v>0</x:v>
      </x:c>
      <x:c r="H35" s="11" t="n">
        <x:v>0</x:v>
      </x:c>
      <x:c r="I35" s="11" t="n">
        <x:v>0</x:v>
      </x:c>
      <x:c r="J35" s="11" t="n">
        <x:v>0</x:v>
      </x:c>
      <x:c r="K35" s="11" t="n">
        <x:v>0</x:v>
      </x:c>
      <x:c r="L35" s="11" t="n">
        <x:v>1</x:v>
      </x:c>
      <x:c r="M35" s="11" t="n">
        <x:v>0</x:v>
      </x:c>
      <x:c r="N35" s="11" t="n">
        <x:v>0</x:v>
      </x:c>
      <x:c r="O35" s="11" t="n">
        <x:v>0</x:v>
      </x:c>
    </x:row>
    <x:row r="36">
      <x:c r="A36" s="11" t="inlineStr">
        <x:is>
          <x:t xml:space="preserve">CPT 2607 Data Structures</x:t>
        </x:is>
      </x:c>
      <x:c r="B36" s="11" t="inlineStr">
        <x:is>
          <x:t xml:space="preserve">Sprring 2025</x:t>
        </x:is>
      </x:c>
      <x:c r="C36" s="11" t="n">
        <x:v>3</x:v>
      </x:c>
      <x:c r="D36" s="11" t="n">
        <x:v>0</x:v>
      </x:c>
      <x:c r="E36" s="11" t="n">
        <x:v>0</x:v>
      </x:c>
      <x:c r="F36" s="11" t="n">
        <x:v>1</x:v>
      </x:c>
      <x:c r="G36" s="11" t="n">
        <x:v>0</x:v>
      </x:c>
      <x:c r="H36" s="11" t="n">
        <x:v>0</x:v>
      </x:c>
      <x:c r="I36" s="11" t="n">
        <x:v>0</x:v>
      </x:c>
      <x:c r="J36" s="11" t="n">
        <x:v>0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 t="n">
        <x:v>0</x:v>
      </x:c>
    </x:row>
    <x:row r="37">
      <x:c r="A37" s="11" t="inlineStr">
        <x:is>
          <x:t xml:space="preserve">CPT 2607 Data Structures</x:t>
        </x:is>
      </x:c>
      <x:c r="B37" s="11" t="inlineStr">
        <x:is>
          <x:t xml:space="preserve">Sprring 2022</x:t>
        </x:is>
      </x:c>
      <x:c r="C37" s="11" t="n">
        <x:v>2</x:v>
      </x:c>
      <x:c r="D37" s="11" t="n">
        <x:v>0</x:v>
      </x:c>
      <x:c r="E37" s="11" t="n">
        <x:v>0</x:v>
      </x:c>
      <x:c r="F37" s="11" t="n">
        <x:v>0</x:v>
      </x:c>
      <x:c r="G37" s="11" t="n">
        <x:v>0</x:v>
      </x:c>
      <x:c r="H37" s="11" t="n">
        <x:v>0</x:v>
      </x:c>
      <x:c r="I37" s="11" t="n">
        <x:v>0</x:v>
      </x:c>
      <x:c r="J37" s="11" t="n">
        <x:v>0</x:v>
      </x:c>
      <x:c r="K37" s="11" t="n">
        <x:v>0</x:v>
      </x:c>
      <x:c r="L37" s="11" t="n">
        <x:v>0</x:v>
      </x:c>
      <x:c r="M37" s="11" t="n">
        <x:v>0</x:v>
      </x:c>
      <x:c r="N37" s="11" t="n">
        <x:v>0</x:v>
      </x:c>
      <x:c r="O37" s="11" t="n">
        <x:v>0</x:v>
      </x:c>
    </x:row>
    <x:row r="38">
      <x:c r="A38" s="11" t="inlineStr">
        <x:is>
          <x:t xml:space="preserve">CPT 2611 Systems Analysis</x:t>
        </x:is>
      </x:c>
      <x:c r="B38" s="11" t="inlineStr">
        <x:is>
          <x:t xml:space="preserve">Sprring 2023</x:t>
        </x:is>
      </x:c>
      <x:c r="C38" s="11" t="n">
        <x:v>3</x:v>
      </x:c>
      <x:c r="D38" s="11" t="n">
        <x:v>0</x:v>
      </x:c>
      <x:c r="E38" s="11" t="n">
        <x:v>0</x:v>
      </x:c>
      <x:c r="F38" s="11" t="n">
        <x:v>0</x:v>
      </x:c>
      <x:c r="G38" s="11" t="n">
        <x:v>1</x:v>
      </x:c>
      <x:c r="H38" s="11" t="n">
        <x:v>0</x:v>
      </x:c>
      <x:c r="I38" s="11" t="n">
        <x:v>0</x:v>
      </x:c>
      <x:c r="J38" s="11" t="n">
        <x:v>2</x:v>
      </x:c>
      <x:c r="K38" s="11" t="n">
        <x:v>0</x:v>
      </x:c>
      <x:c r="L38" s="11" t="n">
        <x:v>0</x:v>
      </x:c>
      <x:c r="M38" s="11" t="n">
        <x:v>0</x:v>
      </x:c>
      <x:c r="N38" s="11" t="n">
        <x:v>1</x:v>
      </x:c>
      <x:c r="O38" s="11" t="n">
        <x:v>0</x:v>
      </x:c>
    </x:row>
    <x:row r="39">
      <x:c r="A39" s="11" t="inlineStr">
        <x:is>
          <x:t xml:space="preserve">CPT 2611 Systems Analysis</x:t>
        </x:is>
      </x:c>
      <x:c r="B39" s="11" t="inlineStr">
        <x:is>
          <x:t xml:space="preserve">Sprring 2024</x:t>
        </x:is>
      </x:c>
      <x:c r="C39" s="11" t="n">
        <x:v>1</x:v>
      </x:c>
      <x:c r="D39" s="11" t="n">
        <x:v>0</x:v>
      </x:c>
      <x:c r="E39" s="11" t="n">
        <x:v>1</x:v>
      </x:c>
      <x:c r="F39" s="11" t="n">
        <x:v>1</x:v>
      </x:c>
      <x:c r="G39" s="11" t="n">
        <x:v>0</x:v>
      </x:c>
      <x:c r="H39" s="11" t="n">
        <x:v>0</x:v>
      </x:c>
      <x:c r="I39" s="11" t="n">
        <x:v>1</x:v>
      </x:c>
      <x:c r="J39" s="11" t="n">
        <x:v>0</x:v>
      </x:c>
      <x:c r="K39" s="11" t="n">
        <x:v>0</x:v>
      </x:c>
      <x:c r="L39" s="11" t="n">
        <x:v>0</x:v>
      </x:c>
      <x:c r="M39" s="11" t="n">
        <x:v>0</x:v>
      </x:c>
      <x:c r="N39" s="11" t="n">
        <x:v>2</x:v>
      </x:c>
      <x:c r="O39" s="11" t="n">
        <x:v>0</x:v>
      </x:c>
    </x:row>
    <x:row r="40">
      <x:c r="A40" s="11" t="inlineStr">
        <x:is>
          <x:t xml:space="preserve">CPT 2611 Systems Analysis</x:t>
        </x:is>
      </x:c>
      <x:c r="B40" s="11" t="inlineStr">
        <x:is>
          <x:t xml:space="preserve">Sprring 2022</x:t>
        </x:is>
      </x:c>
      <x:c r="C40" s="11" t="n">
        <x:v>3</x:v>
      </x:c>
      <x:c r="D40" s="11" t="n">
        <x:v>0</x:v>
      </x:c>
      <x:c r="E40" s="11" t="n">
        <x:v>0</x:v>
      </x:c>
      <x:c r="F40" s="11" t="n">
        <x:v>0</x:v>
      </x:c>
      <x:c r="G40" s="11" t="n">
        <x:v>0</x:v>
      </x:c>
      <x:c r="H40" s="11" t="n">
        <x:v>0</x:v>
      </x:c>
      <x:c r="I40" s="11" t="n">
        <x:v>0</x:v>
      </x:c>
      <x:c r="J40" s="11" t="n">
        <x:v>0</x:v>
      </x:c>
      <x:c r="K40" s="11" t="n">
        <x:v>0</x:v>
      </x:c>
      <x:c r="L40" s="11" t="n">
        <x:v>0</x:v>
      </x:c>
      <x:c r="M40" s="11" t="n">
        <x:v>0</x:v>
      </x:c>
      <x:c r="N40" s="11" t="n">
        <x:v>1</x:v>
      </x:c>
      <x:c r="O40" s="11" t="n">
        <x:v>0</x:v>
      </x:c>
    </x:row>
    <x:row r="41">
      <x:c r="A41" s="11" t="inlineStr">
        <x:is>
          <x:t xml:space="preserve">CPT-1405  Programming in MS Visual Basic</x:t>
        </x:is>
      </x:c>
      <x:c r="B41" s="11" t="inlineStr">
        <x:is>
          <x:t xml:space="preserve">Sprring 2022</x:t>
        </x:is>
      </x:c>
      <x:c r="C41" s="11" t="n">
        <x:v>3</x:v>
      </x:c>
      <x:c r="D41" s="11" t="n">
        <x:v>0</x:v>
      </x:c>
      <x:c r="E41" s="11" t="n">
        <x:v>1</x:v>
      </x:c>
      <x:c r="F41" s="11" t="n">
        <x:v>0</x:v>
      </x:c>
      <x:c r="G41" s="11" t="n">
        <x:v>0</x:v>
      </x:c>
      <x:c r="H41" s="11" t="n">
        <x:v>1</x:v>
      </x:c>
      <x:c r="I41" s="11" t="n">
        <x:v>1</x:v>
      </x:c>
      <x:c r="J41" s="11" t="n">
        <x:v>1</x:v>
      </x:c>
      <x:c r="K41" s="11" t="n">
        <x:v>0</x:v>
      </x:c>
      <x:c r="L41" s="11" t="n">
        <x:v>1</x:v>
      </x:c>
      <x:c r="M41" s="11" t="n">
        <x:v>0</x:v>
      </x:c>
      <x:c r="N41" s="11" t="n">
        <x:v>1</x:v>
      </x:c>
      <x:c r="O41" s="11" t="n">
        <x:v>1</x:v>
      </x:c>
    </x:row>
  </x:sheetData>
  <x:pageMargins left="0.7" right="0.7" top="0.75" bottom="0.75" header="0.3" footer="0.3"/>
</x:worksheet>
</file>